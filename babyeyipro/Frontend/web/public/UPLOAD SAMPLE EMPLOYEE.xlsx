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ro\babyeyipro\Frontend\web\public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91" i="1" l="1"/>
  <c r="I191" i="1"/>
  <c r="H191" i="1"/>
  <c r="G191" i="1"/>
  <c r="F191" i="1"/>
  <c r="J190" i="1"/>
  <c r="I190" i="1"/>
  <c r="H190" i="1"/>
  <c r="G190" i="1"/>
  <c r="F190" i="1"/>
  <c r="J189" i="1"/>
  <c r="I189" i="1"/>
  <c r="H189" i="1"/>
  <c r="G189" i="1"/>
  <c r="F189" i="1"/>
  <c r="J188" i="1"/>
  <c r="G188" i="1" s="1"/>
  <c r="I188" i="1"/>
  <c r="H188" i="1"/>
  <c r="F188" i="1"/>
  <c r="J187" i="1"/>
  <c r="I187" i="1"/>
  <c r="H187" i="1"/>
  <c r="G187" i="1"/>
  <c r="F187" i="1"/>
  <c r="J186" i="1"/>
  <c r="I186" i="1"/>
  <c r="H186" i="1"/>
  <c r="G186" i="1" s="1"/>
  <c r="F186" i="1"/>
  <c r="J185" i="1"/>
  <c r="I185" i="1"/>
  <c r="H185" i="1"/>
  <c r="G185" i="1"/>
  <c r="F185" i="1"/>
  <c r="J184" i="1"/>
  <c r="I184" i="1"/>
  <c r="H184" i="1"/>
  <c r="G184" i="1"/>
  <c r="F184" i="1"/>
  <c r="J183" i="1"/>
  <c r="I183" i="1"/>
  <c r="H183" i="1"/>
  <c r="G183" i="1"/>
  <c r="F183" i="1"/>
  <c r="J182" i="1"/>
  <c r="I182" i="1"/>
  <c r="H182" i="1"/>
  <c r="G182" i="1"/>
  <c r="F182" i="1"/>
  <c r="J181" i="1"/>
  <c r="I181" i="1"/>
  <c r="G181" i="1" s="1"/>
  <c r="H181" i="1"/>
  <c r="F181" i="1"/>
  <c r="J180" i="1"/>
  <c r="I180" i="1"/>
  <c r="H180" i="1"/>
  <c r="G180" i="1"/>
  <c r="F180" i="1"/>
  <c r="J179" i="1"/>
  <c r="I179" i="1"/>
  <c r="H179" i="1"/>
  <c r="G179" i="1"/>
  <c r="F179" i="1"/>
  <c r="J178" i="1"/>
  <c r="I178" i="1"/>
  <c r="H178" i="1"/>
  <c r="G178" i="1"/>
  <c r="F178" i="1"/>
  <c r="J177" i="1"/>
  <c r="I177" i="1"/>
  <c r="H177" i="1"/>
  <c r="G177" i="1"/>
  <c r="F177" i="1"/>
  <c r="J176" i="1"/>
  <c r="G176" i="1" s="1"/>
  <c r="I176" i="1"/>
  <c r="H176" i="1"/>
  <c r="F176" i="1"/>
  <c r="J175" i="1"/>
  <c r="I175" i="1"/>
  <c r="H175" i="1"/>
  <c r="G175" i="1"/>
  <c r="F175" i="1"/>
  <c r="J174" i="1"/>
  <c r="I174" i="1"/>
  <c r="H174" i="1"/>
  <c r="G174" i="1" s="1"/>
  <c r="F174" i="1"/>
  <c r="J173" i="1"/>
  <c r="I173" i="1"/>
  <c r="H173" i="1"/>
  <c r="G173" i="1"/>
  <c r="F173" i="1"/>
  <c r="J172" i="1"/>
  <c r="I172" i="1"/>
  <c r="H172" i="1"/>
  <c r="G172" i="1"/>
  <c r="F172" i="1"/>
  <c r="J171" i="1"/>
  <c r="I171" i="1"/>
  <c r="H171" i="1"/>
  <c r="G171" i="1"/>
  <c r="F171" i="1"/>
  <c r="J170" i="1"/>
  <c r="I170" i="1"/>
  <c r="H170" i="1"/>
  <c r="G170" i="1"/>
  <c r="F170" i="1"/>
  <c r="J169" i="1"/>
  <c r="I169" i="1"/>
  <c r="G169" i="1" s="1"/>
  <c r="H169" i="1"/>
  <c r="F169" i="1"/>
  <c r="J168" i="1"/>
  <c r="I168" i="1"/>
  <c r="H168" i="1"/>
  <c r="G168" i="1"/>
  <c r="F168" i="1"/>
  <c r="J167" i="1"/>
  <c r="I167" i="1"/>
  <c r="H167" i="1"/>
  <c r="G167" i="1"/>
  <c r="F167" i="1"/>
  <c r="J166" i="1"/>
  <c r="I166" i="1"/>
  <c r="H166" i="1"/>
  <c r="G166" i="1"/>
  <c r="F166" i="1"/>
  <c r="J165" i="1"/>
  <c r="I165" i="1"/>
  <c r="H165" i="1"/>
  <c r="G165" i="1"/>
  <c r="F165" i="1"/>
  <c r="J164" i="1"/>
  <c r="G164" i="1" s="1"/>
  <c r="I164" i="1"/>
  <c r="H164" i="1"/>
  <c r="F164" i="1"/>
  <c r="J163" i="1"/>
  <c r="I163" i="1"/>
  <c r="H163" i="1"/>
  <c r="G163" i="1"/>
  <c r="F163" i="1"/>
  <c r="J162" i="1"/>
  <c r="I162" i="1"/>
  <c r="H162" i="1"/>
  <c r="G162" i="1" s="1"/>
  <c r="F162" i="1"/>
  <c r="J161" i="1"/>
  <c r="I161" i="1"/>
  <c r="H161" i="1"/>
  <c r="G161" i="1"/>
  <c r="F161" i="1"/>
  <c r="J160" i="1"/>
  <c r="I160" i="1"/>
  <c r="H160" i="1"/>
  <c r="G160" i="1"/>
  <c r="F160" i="1"/>
  <c r="J159" i="1"/>
  <c r="I159" i="1"/>
  <c r="H159" i="1"/>
  <c r="G159" i="1"/>
  <c r="F159" i="1"/>
  <c r="J158" i="1"/>
  <c r="I158" i="1"/>
  <c r="H158" i="1"/>
  <c r="G158" i="1"/>
  <c r="F158" i="1"/>
  <c r="J157" i="1"/>
  <c r="I157" i="1"/>
  <c r="G157" i="1" s="1"/>
  <c r="H157" i="1"/>
  <c r="F157" i="1"/>
  <c r="J156" i="1"/>
  <c r="I156" i="1"/>
  <c r="H156" i="1"/>
  <c r="G156" i="1"/>
  <c r="F156" i="1"/>
  <c r="J155" i="1"/>
  <c r="I155" i="1"/>
  <c r="H155" i="1"/>
  <c r="G155" i="1"/>
  <c r="F155" i="1"/>
  <c r="J154" i="1"/>
  <c r="I154" i="1"/>
  <c r="H154" i="1"/>
  <c r="G154" i="1"/>
  <c r="F154" i="1"/>
  <c r="J153" i="1"/>
  <c r="I153" i="1"/>
  <c r="H153" i="1"/>
  <c r="G153" i="1"/>
  <c r="F153" i="1"/>
  <c r="J152" i="1"/>
  <c r="G152" i="1" s="1"/>
  <c r="I152" i="1"/>
  <c r="H152" i="1"/>
  <c r="F152" i="1"/>
  <c r="J151" i="1"/>
  <c r="I151" i="1"/>
  <c r="H151" i="1"/>
  <c r="G151" i="1"/>
  <c r="F151" i="1"/>
  <c r="J150" i="1"/>
  <c r="I150" i="1"/>
  <c r="H150" i="1"/>
  <c r="G150" i="1" s="1"/>
  <c r="F150" i="1"/>
  <c r="J149" i="1"/>
  <c r="I149" i="1"/>
  <c r="H149" i="1"/>
  <c r="G149" i="1"/>
  <c r="F149" i="1"/>
  <c r="J148" i="1"/>
  <c r="I148" i="1"/>
  <c r="H148" i="1"/>
  <c r="G148" i="1"/>
  <c r="F148" i="1"/>
  <c r="J147" i="1"/>
  <c r="I147" i="1"/>
  <c r="H147" i="1"/>
  <c r="G147" i="1"/>
  <c r="F147" i="1"/>
  <c r="J146" i="1"/>
  <c r="I146" i="1"/>
  <c r="H146" i="1"/>
  <c r="G146" i="1"/>
  <c r="F146" i="1"/>
  <c r="J145" i="1"/>
  <c r="I145" i="1"/>
  <c r="G145" i="1" s="1"/>
  <c r="H145" i="1"/>
  <c r="F145" i="1"/>
  <c r="J144" i="1"/>
  <c r="I144" i="1"/>
  <c r="H144" i="1"/>
  <c r="G144" i="1"/>
  <c r="F144" i="1"/>
  <c r="J143" i="1"/>
  <c r="I143" i="1"/>
  <c r="H143" i="1"/>
  <c r="G143" i="1"/>
  <c r="F143" i="1"/>
  <c r="J142" i="1"/>
  <c r="I142" i="1"/>
  <c r="H142" i="1"/>
  <c r="G142" i="1"/>
  <c r="F142" i="1"/>
  <c r="J141" i="1"/>
  <c r="I141" i="1"/>
  <c r="H141" i="1"/>
  <c r="G141" i="1"/>
  <c r="F141" i="1"/>
  <c r="J140" i="1"/>
  <c r="G140" i="1" s="1"/>
  <c r="I140" i="1"/>
  <c r="H140" i="1"/>
  <c r="F140" i="1"/>
  <c r="J139" i="1"/>
  <c r="I139" i="1"/>
  <c r="H139" i="1"/>
  <c r="G139" i="1"/>
  <c r="F139" i="1"/>
  <c r="J138" i="1"/>
  <c r="I138" i="1"/>
  <c r="H138" i="1"/>
  <c r="G138" i="1" s="1"/>
  <c r="F138" i="1"/>
  <c r="J137" i="1"/>
  <c r="I137" i="1"/>
  <c r="H137" i="1"/>
  <c r="G137" i="1"/>
  <c r="F137" i="1"/>
  <c r="J136" i="1"/>
  <c r="I136" i="1"/>
  <c r="H136" i="1"/>
  <c r="G136" i="1"/>
  <c r="F136" i="1"/>
  <c r="J135" i="1"/>
  <c r="I135" i="1"/>
  <c r="H135" i="1"/>
  <c r="G135" i="1"/>
  <c r="F135" i="1"/>
  <c r="J134" i="1"/>
  <c r="I134" i="1"/>
  <c r="H134" i="1"/>
  <c r="G134" i="1"/>
  <c r="F134" i="1"/>
  <c r="J133" i="1"/>
  <c r="I133" i="1"/>
  <c r="G133" i="1" s="1"/>
  <c r="H133" i="1"/>
  <c r="F133" i="1"/>
  <c r="J132" i="1"/>
  <c r="I132" i="1"/>
  <c r="H132" i="1"/>
  <c r="G132" i="1"/>
  <c r="F132" i="1"/>
  <c r="J131" i="1"/>
  <c r="I131" i="1"/>
  <c r="H131" i="1"/>
  <c r="G131" i="1"/>
  <c r="F131" i="1"/>
  <c r="J130" i="1"/>
  <c r="I130" i="1"/>
  <c r="H130" i="1"/>
  <c r="G130" i="1"/>
  <c r="F130" i="1"/>
  <c r="J129" i="1"/>
  <c r="I129" i="1"/>
  <c r="H129" i="1"/>
  <c r="G129" i="1"/>
  <c r="F129" i="1"/>
  <c r="J128" i="1"/>
  <c r="G128" i="1" s="1"/>
  <c r="I128" i="1"/>
  <c r="H128" i="1"/>
  <c r="F128" i="1"/>
  <c r="J127" i="1"/>
  <c r="I127" i="1"/>
  <c r="H127" i="1"/>
  <c r="G127" i="1"/>
  <c r="F127" i="1"/>
  <c r="J126" i="1"/>
  <c r="I126" i="1"/>
  <c r="H126" i="1"/>
  <c r="G126" i="1" s="1"/>
  <c r="F126" i="1"/>
  <c r="J125" i="1"/>
  <c r="I125" i="1"/>
  <c r="H125" i="1"/>
  <c r="G125" i="1"/>
  <c r="F125" i="1"/>
  <c r="J124" i="1"/>
  <c r="I124" i="1"/>
  <c r="H124" i="1"/>
  <c r="G124" i="1"/>
  <c r="F124" i="1"/>
  <c r="J123" i="1"/>
  <c r="I123" i="1"/>
  <c r="H123" i="1"/>
  <c r="G123" i="1"/>
  <c r="F123" i="1"/>
  <c r="J122" i="1"/>
  <c r="I122" i="1"/>
  <c r="H122" i="1"/>
  <c r="G122" i="1"/>
  <c r="F122" i="1"/>
  <c r="J121" i="1"/>
  <c r="I121" i="1"/>
  <c r="G121" i="1" s="1"/>
  <c r="H121" i="1"/>
  <c r="F121" i="1"/>
  <c r="J120" i="1"/>
  <c r="I120" i="1"/>
  <c r="H120" i="1"/>
  <c r="G120" i="1"/>
  <c r="F120" i="1"/>
  <c r="J119" i="1"/>
  <c r="I119" i="1"/>
  <c r="H119" i="1"/>
  <c r="G119" i="1"/>
  <c r="F119" i="1"/>
  <c r="J118" i="1"/>
  <c r="I118" i="1"/>
  <c r="H118" i="1"/>
  <c r="G118" i="1"/>
  <c r="F118" i="1"/>
  <c r="J117" i="1"/>
  <c r="I117" i="1"/>
  <c r="H117" i="1"/>
  <c r="G117" i="1"/>
  <c r="F117" i="1"/>
  <c r="J116" i="1"/>
  <c r="G116" i="1" s="1"/>
  <c r="I116" i="1"/>
  <c r="H116" i="1"/>
  <c r="F116" i="1"/>
  <c r="J115" i="1"/>
  <c r="I115" i="1"/>
  <c r="H115" i="1"/>
  <c r="G115" i="1"/>
  <c r="F115" i="1"/>
  <c r="J114" i="1"/>
  <c r="I114" i="1"/>
  <c r="H114" i="1"/>
  <c r="G114" i="1" s="1"/>
  <c r="F114" i="1"/>
  <c r="J113" i="1"/>
  <c r="I113" i="1"/>
  <c r="H113" i="1"/>
  <c r="G113" i="1"/>
  <c r="F113" i="1"/>
  <c r="J112" i="1"/>
  <c r="I112" i="1"/>
  <c r="H112" i="1"/>
  <c r="G112" i="1"/>
  <c r="F112" i="1"/>
  <c r="J111" i="1"/>
  <c r="I111" i="1"/>
  <c r="H111" i="1"/>
  <c r="G111" i="1"/>
  <c r="F111" i="1"/>
  <c r="J110" i="1"/>
  <c r="I110" i="1"/>
  <c r="H110" i="1"/>
  <c r="G110" i="1"/>
  <c r="F110" i="1"/>
  <c r="J109" i="1"/>
  <c r="I109" i="1"/>
  <c r="G109" i="1" s="1"/>
  <c r="H109" i="1"/>
  <c r="F109" i="1"/>
  <c r="J108" i="1"/>
  <c r="I108" i="1"/>
  <c r="H108" i="1"/>
  <c r="G108" i="1"/>
  <c r="F108" i="1"/>
  <c r="J107" i="1"/>
  <c r="I107" i="1"/>
  <c r="H107" i="1"/>
  <c r="G107" i="1"/>
  <c r="F107" i="1"/>
  <c r="J106" i="1"/>
  <c r="I106" i="1"/>
  <c r="H106" i="1"/>
  <c r="G106" i="1"/>
  <c r="F106" i="1"/>
  <c r="J105" i="1"/>
  <c r="I105" i="1"/>
  <c r="H105" i="1"/>
  <c r="G105" i="1"/>
  <c r="F105" i="1"/>
  <c r="J104" i="1"/>
  <c r="G104" i="1" s="1"/>
  <c r="I104" i="1"/>
  <c r="H104" i="1"/>
  <c r="F104" i="1"/>
  <c r="J103" i="1"/>
  <c r="I103" i="1"/>
  <c r="H103" i="1"/>
  <c r="G103" i="1"/>
  <c r="F103" i="1"/>
  <c r="J102" i="1"/>
  <c r="I102" i="1"/>
  <c r="H102" i="1"/>
  <c r="G102" i="1" s="1"/>
  <c r="F102" i="1"/>
  <c r="J101" i="1"/>
  <c r="I101" i="1"/>
  <c r="H101" i="1"/>
  <c r="G101" i="1"/>
  <c r="F101" i="1"/>
  <c r="J100" i="1"/>
  <c r="I100" i="1"/>
  <c r="H100" i="1"/>
  <c r="G100" i="1"/>
  <c r="F100" i="1"/>
  <c r="J99" i="1"/>
  <c r="I99" i="1"/>
  <c r="H99" i="1"/>
  <c r="G99" i="1"/>
  <c r="F99" i="1"/>
  <c r="J98" i="1"/>
  <c r="I98" i="1"/>
  <c r="H98" i="1"/>
  <c r="G98" i="1"/>
  <c r="F98" i="1"/>
  <c r="J97" i="1"/>
  <c r="I97" i="1"/>
  <c r="G97" i="1" s="1"/>
  <c r="H97" i="1"/>
  <c r="F97" i="1"/>
  <c r="J96" i="1"/>
  <c r="I96" i="1"/>
  <c r="H96" i="1"/>
  <c r="G96" i="1"/>
  <c r="F96" i="1"/>
  <c r="J95" i="1"/>
  <c r="I95" i="1"/>
  <c r="H95" i="1"/>
  <c r="G95" i="1"/>
  <c r="F95" i="1"/>
  <c r="J94" i="1"/>
  <c r="I94" i="1"/>
  <c r="H94" i="1"/>
  <c r="G94" i="1"/>
  <c r="F94" i="1"/>
  <c r="J93" i="1"/>
  <c r="I93" i="1"/>
  <c r="H93" i="1"/>
  <c r="G93" i="1"/>
  <c r="F93" i="1"/>
  <c r="J92" i="1"/>
  <c r="G92" i="1" s="1"/>
  <c r="I92" i="1"/>
  <c r="H92" i="1"/>
  <c r="F92" i="1"/>
  <c r="J91" i="1"/>
  <c r="I91" i="1"/>
  <c r="H91" i="1"/>
  <c r="G91" i="1"/>
  <c r="F91" i="1"/>
  <c r="J90" i="1"/>
  <c r="I90" i="1"/>
  <c r="H90" i="1"/>
  <c r="G90" i="1" s="1"/>
  <c r="F90" i="1"/>
  <c r="J89" i="1"/>
  <c r="I89" i="1"/>
  <c r="H89" i="1"/>
  <c r="G89" i="1"/>
  <c r="F89" i="1"/>
  <c r="J88" i="1"/>
  <c r="I88" i="1"/>
  <c r="H88" i="1"/>
  <c r="G88" i="1"/>
  <c r="F88" i="1"/>
  <c r="J87" i="1"/>
  <c r="I87" i="1"/>
  <c r="H87" i="1"/>
  <c r="G87" i="1"/>
  <c r="F87" i="1"/>
  <c r="J86" i="1"/>
  <c r="I86" i="1"/>
  <c r="H86" i="1"/>
  <c r="G86" i="1"/>
  <c r="F86" i="1"/>
  <c r="J85" i="1"/>
  <c r="I85" i="1"/>
  <c r="G85" i="1" s="1"/>
  <c r="H85" i="1"/>
  <c r="F85" i="1"/>
  <c r="J84" i="1"/>
  <c r="I84" i="1"/>
  <c r="H84" i="1"/>
  <c r="G84" i="1"/>
  <c r="F84" i="1"/>
  <c r="J83" i="1"/>
  <c r="I83" i="1"/>
  <c r="H83" i="1"/>
  <c r="G83" i="1"/>
  <c r="F83" i="1"/>
  <c r="J82" i="1"/>
  <c r="I82" i="1"/>
  <c r="H82" i="1"/>
  <c r="G82" i="1"/>
  <c r="F82" i="1"/>
  <c r="J81" i="1"/>
  <c r="I81" i="1"/>
  <c r="H81" i="1"/>
  <c r="G81" i="1"/>
  <c r="F81" i="1"/>
  <c r="J80" i="1"/>
  <c r="G80" i="1" s="1"/>
  <c r="I80" i="1"/>
  <c r="H80" i="1"/>
  <c r="F80" i="1"/>
  <c r="J79" i="1"/>
  <c r="I79" i="1"/>
  <c r="H79" i="1"/>
  <c r="G79" i="1"/>
  <c r="F79" i="1"/>
  <c r="J78" i="1"/>
  <c r="I78" i="1"/>
  <c r="H78" i="1"/>
  <c r="G78" i="1" s="1"/>
  <c r="F78" i="1"/>
  <c r="J77" i="1"/>
  <c r="I77" i="1"/>
  <c r="H77" i="1"/>
  <c r="G77" i="1"/>
  <c r="F77" i="1"/>
  <c r="J76" i="1"/>
  <c r="I76" i="1"/>
  <c r="H76" i="1"/>
  <c r="G76" i="1"/>
  <c r="F76" i="1"/>
  <c r="J75" i="1"/>
  <c r="I75" i="1"/>
  <c r="H75" i="1"/>
  <c r="G75" i="1"/>
  <c r="F75" i="1"/>
  <c r="J74" i="1"/>
  <c r="I74" i="1"/>
  <c r="H74" i="1"/>
  <c r="G74" i="1"/>
  <c r="F74" i="1"/>
  <c r="J73" i="1"/>
  <c r="I73" i="1"/>
  <c r="G73" i="1" s="1"/>
  <c r="H73" i="1"/>
  <c r="F73" i="1"/>
  <c r="J72" i="1"/>
  <c r="I72" i="1"/>
  <c r="H72" i="1"/>
  <c r="G72" i="1"/>
  <c r="F72" i="1"/>
  <c r="J71" i="1"/>
  <c r="I71" i="1"/>
  <c r="H71" i="1"/>
  <c r="G71" i="1"/>
  <c r="F71" i="1"/>
  <c r="J70" i="1"/>
  <c r="I70" i="1"/>
  <c r="H70" i="1"/>
  <c r="G70" i="1"/>
  <c r="F70" i="1"/>
  <c r="J69" i="1"/>
  <c r="I69" i="1"/>
  <c r="H69" i="1"/>
  <c r="G69" i="1"/>
  <c r="F69" i="1"/>
  <c r="J68" i="1"/>
  <c r="G68" i="1" s="1"/>
  <c r="I68" i="1"/>
  <c r="H68" i="1"/>
  <c r="F68" i="1"/>
  <c r="J67" i="1"/>
  <c r="I67" i="1"/>
  <c r="H67" i="1"/>
  <c r="G67" i="1"/>
  <c r="F67" i="1"/>
  <c r="J66" i="1"/>
  <c r="I66" i="1"/>
  <c r="H66" i="1"/>
  <c r="G66" i="1" s="1"/>
  <c r="F66" i="1"/>
  <c r="J65" i="1"/>
  <c r="I65" i="1"/>
  <c r="H65" i="1"/>
  <c r="G65" i="1"/>
  <c r="F65" i="1"/>
  <c r="J64" i="1"/>
  <c r="I64" i="1"/>
  <c r="H64" i="1"/>
  <c r="G64" i="1"/>
  <c r="F64" i="1"/>
  <c r="J63" i="1"/>
  <c r="I63" i="1"/>
  <c r="H63" i="1"/>
  <c r="G63" i="1"/>
  <c r="F63" i="1"/>
  <c r="J62" i="1"/>
  <c r="I62" i="1"/>
  <c r="H62" i="1"/>
  <c r="G62" i="1"/>
  <c r="F62" i="1"/>
  <c r="J61" i="1"/>
  <c r="I61" i="1"/>
  <c r="G61" i="1" s="1"/>
  <c r="H61" i="1"/>
  <c r="F61" i="1"/>
  <c r="J60" i="1"/>
  <c r="I60" i="1"/>
  <c r="H60" i="1"/>
  <c r="G60" i="1"/>
  <c r="F60" i="1"/>
  <c r="J59" i="1"/>
  <c r="I59" i="1"/>
  <c r="H59" i="1"/>
  <c r="G59" i="1"/>
  <c r="F59" i="1"/>
  <c r="J58" i="1"/>
  <c r="I58" i="1"/>
  <c r="H58" i="1"/>
  <c r="G58" i="1"/>
  <c r="F58" i="1"/>
  <c r="J57" i="1"/>
  <c r="I57" i="1"/>
  <c r="H57" i="1"/>
  <c r="G57" i="1"/>
  <c r="F57" i="1"/>
  <c r="J56" i="1"/>
  <c r="G56" i="1" s="1"/>
  <c r="I56" i="1"/>
  <c r="H56" i="1"/>
  <c r="F56" i="1"/>
  <c r="J55" i="1"/>
  <c r="I55" i="1"/>
  <c r="H55" i="1"/>
  <c r="G55" i="1"/>
  <c r="F55" i="1"/>
  <c r="J54" i="1"/>
  <c r="I54" i="1"/>
  <c r="H54" i="1"/>
  <c r="G54" i="1" s="1"/>
  <c r="F54" i="1"/>
  <c r="J53" i="1"/>
  <c r="I53" i="1"/>
  <c r="H53" i="1"/>
  <c r="G53" i="1"/>
  <c r="F53" i="1"/>
  <c r="J52" i="1"/>
  <c r="I52" i="1"/>
  <c r="H52" i="1"/>
  <c r="G52" i="1"/>
  <c r="F52" i="1"/>
  <c r="J51" i="1"/>
  <c r="I51" i="1"/>
  <c r="H51" i="1"/>
  <c r="G51" i="1"/>
  <c r="F51" i="1"/>
  <c r="J50" i="1"/>
  <c r="I50" i="1"/>
  <c r="H50" i="1"/>
  <c r="G50" i="1"/>
  <c r="F50" i="1"/>
  <c r="J49" i="1"/>
  <c r="I49" i="1"/>
  <c r="G49" i="1" s="1"/>
  <c r="H49" i="1"/>
  <c r="F49" i="1"/>
  <c r="J48" i="1"/>
  <c r="I48" i="1"/>
  <c r="H48" i="1"/>
  <c r="G48" i="1"/>
  <c r="F48" i="1"/>
  <c r="J47" i="1"/>
  <c r="I47" i="1"/>
  <c r="H47" i="1"/>
  <c r="G47" i="1"/>
  <c r="F47" i="1"/>
  <c r="J46" i="1"/>
  <c r="I46" i="1"/>
  <c r="H46" i="1"/>
  <c r="G46" i="1"/>
  <c r="F46" i="1"/>
  <c r="J45" i="1"/>
  <c r="I45" i="1"/>
  <c r="H45" i="1"/>
  <c r="G45" i="1"/>
  <c r="F45" i="1"/>
  <c r="J44" i="1"/>
  <c r="G44" i="1" s="1"/>
  <c r="I44" i="1"/>
  <c r="H44" i="1"/>
  <c r="F44" i="1"/>
  <c r="J43" i="1"/>
  <c r="I43" i="1"/>
  <c r="H43" i="1"/>
  <c r="G43" i="1"/>
  <c r="F43" i="1"/>
  <c r="J42" i="1"/>
  <c r="I42" i="1"/>
  <c r="H42" i="1"/>
  <c r="G42" i="1" s="1"/>
  <c r="F42" i="1"/>
  <c r="J41" i="1"/>
  <c r="I41" i="1"/>
  <c r="H41" i="1"/>
  <c r="G41" i="1"/>
  <c r="F41" i="1"/>
  <c r="J40" i="1"/>
  <c r="I40" i="1"/>
  <c r="H40" i="1"/>
  <c r="G40" i="1"/>
  <c r="F40" i="1"/>
  <c r="J39" i="1"/>
  <c r="I39" i="1"/>
  <c r="H39" i="1"/>
  <c r="G39" i="1"/>
  <c r="F39" i="1"/>
  <c r="J38" i="1"/>
  <c r="I38" i="1"/>
  <c r="H38" i="1"/>
  <c r="G38" i="1"/>
  <c r="F38" i="1"/>
  <c r="J37" i="1"/>
  <c r="I37" i="1"/>
  <c r="G37" i="1" s="1"/>
  <c r="H37" i="1"/>
  <c r="F37" i="1"/>
  <c r="J36" i="1"/>
  <c r="I36" i="1"/>
  <c r="H36" i="1"/>
  <c r="G36" i="1"/>
  <c r="F36" i="1"/>
  <c r="J35" i="1"/>
  <c r="I35" i="1"/>
  <c r="H35" i="1"/>
  <c r="G35" i="1"/>
  <c r="F35" i="1"/>
  <c r="J34" i="1"/>
  <c r="I34" i="1"/>
  <c r="H34" i="1"/>
  <c r="G34" i="1"/>
  <c r="F34" i="1"/>
  <c r="J33" i="1"/>
  <c r="I33" i="1"/>
  <c r="H33" i="1"/>
  <c r="G33" i="1"/>
  <c r="F33" i="1"/>
  <c r="J32" i="1"/>
  <c r="G32" i="1" s="1"/>
  <c r="I32" i="1"/>
  <c r="H32" i="1"/>
  <c r="F32" i="1"/>
  <c r="J31" i="1"/>
  <c r="I31" i="1"/>
  <c r="H31" i="1"/>
  <c r="G31" i="1"/>
  <c r="F31" i="1"/>
  <c r="J30" i="1"/>
  <c r="I30" i="1"/>
  <c r="H30" i="1"/>
  <c r="G30" i="1" s="1"/>
  <c r="F30" i="1"/>
  <c r="J29" i="1"/>
  <c r="I29" i="1"/>
  <c r="H29" i="1"/>
  <c r="G29" i="1"/>
  <c r="F29" i="1"/>
  <c r="J28" i="1"/>
  <c r="I28" i="1"/>
  <c r="H28" i="1"/>
  <c r="G28" i="1"/>
  <c r="F28" i="1"/>
  <c r="J27" i="1"/>
  <c r="I27" i="1"/>
  <c r="H27" i="1"/>
  <c r="G27" i="1"/>
  <c r="F27" i="1"/>
  <c r="J26" i="1"/>
  <c r="I26" i="1"/>
  <c r="H26" i="1"/>
  <c r="G26" i="1"/>
  <c r="F26" i="1"/>
  <c r="J25" i="1"/>
  <c r="I25" i="1"/>
  <c r="G25" i="1" s="1"/>
  <c r="H25" i="1"/>
  <c r="F25" i="1"/>
  <c r="J24" i="1"/>
  <c r="I24" i="1"/>
  <c r="H24" i="1"/>
  <c r="G24" i="1"/>
  <c r="F24" i="1"/>
  <c r="J23" i="1"/>
  <c r="I23" i="1"/>
  <c r="H23" i="1"/>
  <c r="G23" i="1"/>
  <c r="F23" i="1"/>
  <c r="J22" i="1"/>
  <c r="I22" i="1"/>
  <c r="H22" i="1"/>
  <c r="G22" i="1"/>
  <c r="F22" i="1"/>
  <c r="J21" i="1"/>
  <c r="I21" i="1"/>
  <c r="H21" i="1"/>
  <c r="G21" i="1"/>
  <c r="F21" i="1"/>
  <c r="J20" i="1"/>
  <c r="G20" i="1" s="1"/>
  <c r="I20" i="1"/>
  <c r="H20" i="1"/>
  <c r="F20" i="1"/>
  <c r="J19" i="1"/>
  <c r="I19" i="1"/>
  <c r="H19" i="1"/>
  <c r="G19" i="1"/>
  <c r="F19" i="1"/>
  <c r="J18" i="1"/>
  <c r="I18" i="1"/>
  <c r="H18" i="1"/>
  <c r="G18" i="1" s="1"/>
  <c r="F18" i="1"/>
  <c r="J17" i="1"/>
  <c r="I17" i="1"/>
  <c r="H17" i="1"/>
  <c r="G17" i="1"/>
  <c r="F17" i="1"/>
  <c r="J16" i="1"/>
  <c r="I16" i="1"/>
  <c r="H16" i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G13" i="1" s="1"/>
  <c r="H13" i="1"/>
  <c r="F13" i="1"/>
  <c r="J12" i="1"/>
  <c r="I12" i="1"/>
  <c r="H12" i="1"/>
  <c r="G12" i="1"/>
  <c r="F12" i="1"/>
  <c r="J11" i="1"/>
  <c r="I11" i="1"/>
  <c r="H11" i="1"/>
  <c r="G11" i="1"/>
  <c r="F11" i="1"/>
  <c r="J10" i="1"/>
  <c r="I10" i="1"/>
  <c r="H10" i="1"/>
  <c r="G10" i="1"/>
  <c r="F10" i="1"/>
  <c r="J9" i="1"/>
  <c r="I9" i="1"/>
  <c r="H9" i="1"/>
  <c r="G9" i="1"/>
  <c r="F9" i="1"/>
  <c r="J8" i="1"/>
  <c r="G8" i="1" s="1"/>
  <c r="I8" i="1"/>
  <c r="H8" i="1"/>
  <c r="F8" i="1"/>
  <c r="J7" i="1"/>
  <c r="I7" i="1"/>
  <c r="H7" i="1"/>
  <c r="G7" i="1"/>
  <c r="F7" i="1"/>
  <c r="J6" i="1"/>
  <c r="I6" i="1"/>
  <c r="H6" i="1"/>
  <c r="G6" i="1" s="1"/>
  <c r="F6" i="1"/>
  <c r="J5" i="1"/>
  <c r="I5" i="1"/>
  <c r="H5" i="1"/>
  <c r="G5" i="1"/>
  <c r="F5" i="1"/>
  <c r="J4" i="1"/>
  <c r="I4" i="1"/>
  <c r="H4" i="1"/>
  <c r="G4" i="1"/>
  <c r="F4" i="1"/>
  <c r="J3" i="1"/>
  <c r="I3" i="1"/>
  <c r="H3" i="1"/>
  <c r="G3" i="1"/>
  <c r="F3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<sst xmlns="http://schemas.openxmlformats.org/spreadsheetml/2006/main" count="960" uniqueCount="738">
  <si>
    <t>RSSB NUMBER(RAMA)</t>
  </si>
  <si>
    <t>FIRST NAME</t>
  </si>
  <si>
    <t>SEX</t>
  </si>
  <si>
    <t>BASIC SL</t>
  </si>
  <si>
    <t>Totals ALLOWANCES</t>
  </si>
  <si>
    <t>Others</t>
  </si>
  <si>
    <t>H/A</t>
  </si>
  <si>
    <t>T/A</t>
  </si>
  <si>
    <t>GROSS</t>
  </si>
  <si>
    <t>10215340</t>
  </si>
  <si>
    <t>1197570011937388</t>
  </si>
  <si>
    <t>ABERA</t>
  </si>
  <si>
    <t>VALLY</t>
  </si>
  <si>
    <t>F</t>
  </si>
  <si>
    <t>19983446K</t>
  </si>
  <si>
    <t>CM84101104ZD7F</t>
  </si>
  <si>
    <t>AGABA</t>
  </si>
  <si>
    <t>ALBERT</t>
  </si>
  <si>
    <t>M</t>
  </si>
  <si>
    <t>20059935Y</t>
  </si>
  <si>
    <t>1198780179442240</t>
  </si>
  <si>
    <t xml:space="preserve">AGABA </t>
  </si>
  <si>
    <t>EBONNY</t>
  </si>
  <si>
    <t>20600265Z</t>
  </si>
  <si>
    <t>002492938</t>
  </si>
  <si>
    <t>AGNES</t>
  </si>
  <si>
    <t>AKOYOLOT</t>
  </si>
  <si>
    <t>10398164F</t>
  </si>
  <si>
    <t>1198070159892031</t>
  </si>
  <si>
    <t>BABIRYE</t>
  </si>
  <si>
    <t>10197509</t>
  </si>
  <si>
    <t>1197470034948148</t>
  </si>
  <si>
    <t>Alvera</t>
  </si>
  <si>
    <t>MUKANTWALI</t>
  </si>
  <si>
    <t>10334610S</t>
  </si>
  <si>
    <t>1197770029088057</t>
  </si>
  <si>
    <t>ANYSIE</t>
  </si>
  <si>
    <t>NZAMWITAKUZE</t>
  </si>
  <si>
    <t>10230153R</t>
  </si>
  <si>
    <t>1196870005189176</t>
  </si>
  <si>
    <t>AYEBARE</t>
  </si>
  <si>
    <t>GRACE</t>
  </si>
  <si>
    <t>19464823A</t>
  </si>
  <si>
    <t>1199770216000072</t>
  </si>
  <si>
    <t>AYESIGA</t>
  </si>
  <si>
    <t>DONATINA</t>
  </si>
  <si>
    <t>20394822H</t>
  </si>
  <si>
    <t>CM9407610DESL</t>
  </si>
  <si>
    <t xml:space="preserve">AYO  </t>
  </si>
  <si>
    <t>INNOCENT</t>
  </si>
  <si>
    <t>10144146</t>
  </si>
  <si>
    <t>1196880082669197</t>
  </si>
  <si>
    <t>BAHIZI</t>
  </si>
  <si>
    <t>DEUS</t>
  </si>
  <si>
    <t>19985029F</t>
  </si>
  <si>
    <t>A00908507</t>
  </si>
  <si>
    <t xml:space="preserve">BAKUNDA </t>
  </si>
  <si>
    <t>OLIVA</t>
  </si>
  <si>
    <t>10627760J</t>
  </si>
  <si>
    <t>1198770167156252</t>
  </si>
  <si>
    <t>BAMUKUNDE</t>
  </si>
  <si>
    <t>GOLLET</t>
  </si>
  <si>
    <t>11019263R</t>
  </si>
  <si>
    <t>1198570018490030</t>
  </si>
  <si>
    <t>BANZA</t>
  </si>
  <si>
    <t>HORTENCE</t>
  </si>
  <si>
    <t>20792688V</t>
  </si>
  <si>
    <t>704118</t>
  </si>
  <si>
    <t xml:space="preserve">BARAKA </t>
  </si>
  <si>
    <t>MATABARO BERTIN</t>
  </si>
  <si>
    <t>20210760E</t>
  </si>
  <si>
    <t>CM9203410ATXMC</t>
  </si>
  <si>
    <t xml:space="preserve">BEINOMUGISHA </t>
  </si>
  <si>
    <t>CHRISTIAN</t>
  </si>
  <si>
    <t>10903664R</t>
  </si>
  <si>
    <t>3197480106916287</t>
  </si>
  <si>
    <t>BESIIME</t>
  </si>
  <si>
    <t>MICHAEL</t>
  </si>
  <si>
    <t>10385259C</t>
  </si>
  <si>
    <t>197870017826091</t>
  </si>
  <si>
    <t>BIRABWA</t>
  </si>
  <si>
    <t>JANE</t>
  </si>
  <si>
    <t>20016579W</t>
  </si>
  <si>
    <t>19808017375103</t>
  </si>
  <si>
    <t xml:space="preserve">BIREMBA </t>
  </si>
  <si>
    <t>METHODE</t>
  </si>
  <si>
    <t>10627732D</t>
  </si>
  <si>
    <t>198880220710113</t>
  </si>
  <si>
    <t>BIZIMANA</t>
  </si>
  <si>
    <t>RICHARD</t>
  </si>
  <si>
    <t>10095861</t>
  </si>
  <si>
    <t>1197080007999000</t>
  </si>
  <si>
    <t>BUTERA</t>
  </si>
  <si>
    <t>ANTOINE</t>
  </si>
  <si>
    <t>10655923V</t>
  </si>
  <si>
    <t>1197480101931008</t>
  </si>
  <si>
    <t>BUZAALE</t>
  </si>
  <si>
    <t>GERSHOM</t>
  </si>
  <si>
    <t>10239293C</t>
  </si>
  <si>
    <t>1196880008525034</t>
  </si>
  <si>
    <t>BYAMUKAMA</t>
  </si>
  <si>
    <t>JOHN</t>
  </si>
  <si>
    <t>11114537Z</t>
  </si>
  <si>
    <t>3198580202576368</t>
  </si>
  <si>
    <t>BYAMUNGU</t>
  </si>
  <si>
    <t>SIMON</t>
  </si>
  <si>
    <t>10405312L</t>
  </si>
  <si>
    <t>1198680053629078</t>
  </si>
  <si>
    <t xml:space="preserve">BYUKUSENGE </t>
  </si>
  <si>
    <t>EMMANUEL</t>
  </si>
  <si>
    <t>19694618V</t>
  </si>
  <si>
    <t>119970107645000</t>
  </si>
  <si>
    <t>CECILE</t>
  </si>
  <si>
    <t>DUSABE</t>
  </si>
  <si>
    <t>20501062M</t>
  </si>
  <si>
    <t>A000050227</t>
  </si>
  <si>
    <t>CHRISPUS</t>
  </si>
  <si>
    <t>AKANDWANAHO</t>
  </si>
  <si>
    <t>20479979K</t>
  </si>
  <si>
    <t>3199680271632037</t>
  </si>
  <si>
    <t>FRANCOIS</t>
  </si>
  <si>
    <t xml:space="preserve">CITO BAZIBUHE </t>
  </si>
  <si>
    <t>20791117B</t>
  </si>
  <si>
    <t>1200580222544013</t>
  </si>
  <si>
    <t>AIME MUBARAKA</t>
  </si>
  <si>
    <t>CYUSA</t>
  </si>
  <si>
    <t>20060946V</t>
  </si>
  <si>
    <t>2197380099765090</t>
  </si>
  <si>
    <t xml:space="preserve">DAYISHIMIYE </t>
  </si>
  <si>
    <t>PRIME</t>
  </si>
  <si>
    <t>10627744D</t>
  </si>
  <si>
    <t>1197270005643087</t>
  </si>
  <si>
    <t>GETRIDE</t>
  </si>
  <si>
    <t>20266031Z</t>
  </si>
  <si>
    <t>CM880221014FJA</t>
  </si>
  <si>
    <t>ELEM  BOB</t>
  </si>
  <si>
    <t>MIKE</t>
  </si>
  <si>
    <t>20670301S</t>
  </si>
  <si>
    <t>1200680141463008</t>
  </si>
  <si>
    <t>Emmanuel</t>
  </si>
  <si>
    <t>KWIZERA</t>
  </si>
  <si>
    <t>20380452D</t>
  </si>
  <si>
    <t>950671062RYG</t>
  </si>
  <si>
    <t xml:space="preserve">EPUL </t>
  </si>
  <si>
    <t>TITUS</t>
  </si>
  <si>
    <t>20259735F</t>
  </si>
  <si>
    <t>1200480120154078</t>
  </si>
  <si>
    <t>Felicien</t>
  </si>
  <si>
    <t>TWAHIRWA</t>
  </si>
  <si>
    <t>10418194X</t>
  </si>
  <si>
    <t>198280016189087</t>
  </si>
  <si>
    <t>GAKWAYA</t>
  </si>
  <si>
    <t>NARCISSE</t>
  </si>
  <si>
    <t>10718851W</t>
  </si>
  <si>
    <t>1198780009113003</t>
  </si>
  <si>
    <t>GASAGURE</t>
  </si>
  <si>
    <t>JEAN DE DIEU</t>
  </si>
  <si>
    <t>10710137T</t>
  </si>
  <si>
    <t>119847202740287</t>
  </si>
  <si>
    <t>GASENGAIRE</t>
  </si>
  <si>
    <t>JOANITA</t>
  </si>
  <si>
    <t>19702579T</t>
  </si>
  <si>
    <t>2198770204282060</t>
  </si>
  <si>
    <t>GASHAZA</t>
  </si>
  <si>
    <t>NICOLE</t>
  </si>
  <si>
    <t>11004160C</t>
  </si>
  <si>
    <t>1197680010834079</t>
  </si>
  <si>
    <t>GASHUMBA</t>
  </si>
  <si>
    <t>10593312S</t>
  </si>
  <si>
    <t>1198680019829032</t>
  </si>
  <si>
    <t>GASIGWA</t>
  </si>
  <si>
    <t>GASPARD</t>
  </si>
  <si>
    <t>19585802T</t>
  </si>
  <si>
    <t>1199480198966130</t>
  </si>
  <si>
    <t>GATETE</t>
  </si>
  <si>
    <t>MICHEL</t>
  </si>
  <si>
    <t>10215345</t>
  </si>
  <si>
    <t>1197070004849007</t>
  </si>
  <si>
    <t>GATSINZA</t>
  </si>
  <si>
    <t>GOLETTE</t>
  </si>
  <si>
    <t>10491284S</t>
  </si>
  <si>
    <t>1198580060932050</t>
  </si>
  <si>
    <t xml:space="preserve">GUMIRIZA </t>
  </si>
  <si>
    <t>JEAN MARIE VIANNEY</t>
  </si>
  <si>
    <t>11179315G</t>
  </si>
  <si>
    <t>198980143763083</t>
  </si>
  <si>
    <t>HABIMANA</t>
  </si>
  <si>
    <t>DIEUDONNE</t>
  </si>
  <si>
    <t>19390168R</t>
  </si>
  <si>
    <t>1198480163860010</t>
  </si>
  <si>
    <t xml:space="preserve">HAVUGWAMENSHI </t>
  </si>
  <si>
    <t>J DAMASCENE</t>
  </si>
  <si>
    <t>10627740T</t>
  </si>
  <si>
    <t>1198570176921190</t>
  </si>
  <si>
    <t>INGABIRE</t>
  </si>
  <si>
    <t>19947618Y</t>
  </si>
  <si>
    <t>1198970022056075</t>
  </si>
  <si>
    <t>MARIE AUDACE</t>
  </si>
  <si>
    <t>10215338</t>
  </si>
  <si>
    <t>1197770011862146</t>
  </si>
  <si>
    <t>THERESE</t>
  </si>
  <si>
    <t>19702189K</t>
  </si>
  <si>
    <t>1199170151537042</t>
  </si>
  <si>
    <t>FAITH</t>
  </si>
  <si>
    <t>19382109L</t>
  </si>
  <si>
    <t>199570196252010</t>
  </si>
  <si>
    <t>SHARON</t>
  </si>
  <si>
    <t>20251338X</t>
  </si>
  <si>
    <t>1198480043990097</t>
  </si>
  <si>
    <t>IRAGUHA</t>
  </si>
  <si>
    <t>JACQUES</t>
  </si>
  <si>
    <t>19575751M</t>
  </si>
  <si>
    <t>1199980087211052</t>
  </si>
  <si>
    <t>ISHIMWE</t>
  </si>
  <si>
    <t>RENE</t>
  </si>
  <si>
    <t>19713751V</t>
  </si>
  <si>
    <t>1199670189346205</t>
  </si>
  <si>
    <t>JACQUELINE</t>
  </si>
  <si>
    <t>MUHAWENIMANA</t>
  </si>
  <si>
    <t>20672864W</t>
  </si>
  <si>
    <t>534450</t>
  </si>
  <si>
    <t>JOSH</t>
  </si>
  <si>
    <t>BISIMWA JOSPIN</t>
  </si>
  <si>
    <t>19969430Z</t>
  </si>
  <si>
    <t>R002247</t>
  </si>
  <si>
    <t>KADIGIRI</t>
  </si>
  <si>
    <t>EDOUARD</t>
  </si>
  <si>
    <t>11004166E</t>
  </si>
  <si>
    <t>1199370037637345</t>
  </si>
  <si>
    <t>KAGAGA</t>
  </si>
  <si>
    <t>10358997P</t>
  </si>
  <si>
    <t>197380005460013</t>
  </si>
  <si>
    <t>KAGAME</t>
  </si>
  <si>
    <t>ELIJAH MICHAEL</t>
  </si>
  <si>
    <t>11004158P</t>
  </si>
  <si>
    <t>1197080077802133</t>
  </si>
  <si>
    <t>KALISA</t>
  </si>
  <si>
    <t>MARTIN</t>
  </si>
  <si>
    <t>19465472J</t>
  </si>
  <si>
    <t>1199370174802224</t>
  </si>
  <si>
    <t xml:space="preserve">KAMAGAJU </t>
  </si>
  <si>
    <t>PERUTH</t>
  </si>
  <si>
    <t>11002752Q</t>
  </si>
  <si>
    <t>119757004822043</t>
  </si>
  <si>
    <t>KAMPIRE</t>
  </si>
  <si>
    <t>FRANCINE</t>
  </si>
  <si>
    <t>10880114L</t>
  </si>
  <si>
    <t>1197580104893086</t>
  </si>
  <si>
    <t>KAMUZINZI</t>
  </si>
  <si>
    <t>SAMUEL</t>
  </si>
  <si>
    <t>10657671G</t>
  </si>
  <si>
    <t>1197280007404018</t>
  </si>
  <si>
    <t>KARAKE</t>
  </si>
  <si>
    <t>REVELIAN</t>
  </si>
  <si>
    <t>19607229K</t>
  </si>
  <si>
    <t>1198480012563075</t>
  </si>
  <si>
    <t>KARASIRA</t>
  </si>
  <si>
    <t>FULGENCE</t>
  </si>
  <si>
    <t>10385319D</t>
  </si>
  <si>
    <t>3197480106797114</t>
  </si>
  <si>
    <t>KARUHANGA</t>
  </si>
  <si>
    <t>HENRY</t>
  </si>
  <si>
    <t>10374408J</t>
  </si>
  <si>
    <t>1194580000898167</t>
  </si>
  <si>
    <t>KAYINAMURA</t>
  </si>
  <si>
    <t>GEDEON</t>
  </si>
  <si>
    <t>10661577Z</t>
  </si>
  <si>
    <t>1198680065330087</t>
  </si>
  <si>
    <t xml:space="preserve">KAYINAMURA </t>
  </si>
  <si>
    <t>JEAN PIERRE</t>
  </si>
  <si>
    <t>11118242Q</t>
  </si>
  <si>
    <t>15700026504</t>
  </si>
  <si>
    <t>KAYITESI</t>
  </si>
  <si>
    <t>MARIE CLAIRE</t>
  </si>
  <si>
    <t>19928301F</t>
  </si>
  <si>
    <t>CF980361090ZAK</t>
  </si>
  <si>
    <t>JOVIA</t>
  </si>
  <si>
    <t>19964621L</t>
  </si>
  <si>
    <t>OP0121855</t>
  </si>
  <si>
    <t>KAZE</t>
  </si>
  <si>
    <t>CLARISSE</t>
  </si>
  <si>
    <t>20210757H</t>
  </si>
  <si>
    <t>A00811078</t>
  </si>
  <si>
    <t>KIIRYA</t>
  </si>
  <si>
    <t>IVAN</t>
  </si>
  <si>
    <t>10715152S</t>
  </si>
  <si>
    <t>22569175470</t>
  </si>
  <si>
    <t>KIRENGA</t>
  </si>
  <si>
    <t>GERARD</t>
  </si>
  <si>
    <t>11114546Y</t>
  </si>
  <si>
    <t>B09906381</t>
  </si>
  <si>
    <t>KITASIMBWA</t>
  </si>
  <si>
    <t>RASHID</t>
  </si>
  <si>
    <t>10522811F</t>
  </si>
  <si>
    <t>3198480204350377</t>
  </si>
  <si>
    <t>KITIMBO</t>
  </si>
  <si>
    <t>HERBERT</t>
  </si>
  <si>
    <t>10903665A</t>
  </si>
  <si>
    <t>3198980216183198</t>
  </si>
  <si>
    <t>ISAH</t>
  </si>
  <si>
    <t>20376197L</t>
  </si>
  <si>
    <t>1386</t>
  </si>
  <si>
    <t xml:space="preserve"> ESTHER</t>
  </si>
  <si>
    <t>KITUMAINI MIRINDI</t>
  </si>
  <si>
    <t>19928302P</t>
  </si>
  <si>
    <t>001080505</t>
  </si>
  <si>
    <t>KWEZERA</t>
  </si>
  <si>
    <t>VIAN</t>
  </si>
  <si>
    <t>20455915Q</t>
  </si>
  <si>
    <t>1199370209839116</t>
  </si>
  <si>
    <t>LILLIAN</t>
  </si>
  <si>
    <t>KANYANA</t>
  </si>
  <si>
    <t>20130489E</t>
  </si>
  <si>
    <t>1198380047612151</t>
  </si>
  <si>
    <t>MACUMI</t>
  </si>
  <si>
    <t>FIDELE</t>
  </si>
  <si>
    <t>19375770M</t>
  </si>
  <si>
    <t>2198470206430019</t>
  </si>
  <si>
    <t>MANANIKINDI</t>
  </si>
  <si>
    <t>JOSELYNE</t>
  </si>
  <si>
    <t>20501063W</t>
  </si>
  <si>
    <t>5049005</t>
  </si>
  <si>
    <t>MARCELINE</t>
  </si>
  <si>
    <t>CHIRIMWAMI</t>
  </si>
  <si>
    <t>10376518J</t>
  </si>
  <si>
    <t>1198270043265061</t>
  </si>
  <si>
    <t>MARIE GRACE</t>
  </si>
  <si>
    <t>SUGI</t>
  </si>
  <si>
    <t>19635283F</t>
  </si>
  <si>
    <t>001080504</t>
  </si>
  <si>
    <t>MAYANJA</t>
  </si>
  <si>
    <t>VICENT</t>
  </si>
  <si>
    <t>20210759A</t>
  </si>
  <si>
    <t>B1180758</t>
  </si>
  <si>
    <t>MAYANJA LEON</t>
  </si>
  <si>
    <t>SENGENDO</t>
  </si>
  <si>
    <t>10627757M</t>
  </si>
  <si>
    <t>1198570182275186</t>
  </si>
  <si>
    <t>MBABAZI</t>
  </si>
  <si>
    <t>JACKLINE</t>
  </si>
  <si>
    <t>19521245N</t>
  </si>
  <si>
    <t>1199680155257080</t>
  </si>
  <si>
    <t>MUGABE</t>
  </si>
  <si>
    <t>DIDAS</t>
  </si>
  <si>
    <t>10215341</t>
  </si>
  <si>
    <t>1196880078877138</t>
  </si>
  <si>
    <t>MUGABO</t>
  </si>
  <si>
    <t>20365875A</t>
  </si>
  <si>
    <t>1199980037685017</t>
  </si>
  <si>
    <t>JEAN LEONARD</t>
  </si>
  <si>
    <t>20160165C</t>
  </si>
  <si>
    <t>1198480187684000</t>
  </si>
  <si>
    <t xml:space="preserve">MUGEMA </t>
  </si>
  <si>
    <t>JEAN CLAUDE</t>
  </si>
  <si>
    <t>19427992A</t>
  </si>
  <si>
    <t>1199170009365027</t>
  </si>
  <si>
    <t>MUGENI</t>
  </si>
  <si>
    <t>SANDRINE</t>
  </si>
  <si>
    <t>19554315B</t>
  </si>
  <si>
    <t>50460</t>
  </si>
  <si>
    <t>MUGERWA</t>
  </si>
  <si>
    <t>FRED</t>
  </si>
  <si>
    <t>10659586M</t>
  </si>
  <si>
    <t>3198680201640290</t>
  </si>
  <si>
    <t>Bosco</t>
  </si>
  <si>
    <t>Mugwa</t>
  </si>
  <si>
    <t>19635285Y</t>
  </si>
  <si>
    <t>319797013648828</t>
  </si>
  <si>
    <t>MUHIGWA BAHATI</t>
  </si>
  <si>
    <t>VALERIE</t>
  </si>
  <si>
    <t>11020251X</t>
  </si>
  <si>
    <t>1199680079515157</t>
  </si>
  <si>
    <t>MUHIRE</t>
  </si>
  <si>
    <t>MAXIMILIEN</t>
  </si>
  <si>
    <t>11004172C</t>
  </si>
  <si>
    <t>1198570020788076</t>
  </si>
  <si>
    <t>MUHONGERWA</t>
  </si>
  <si>
    <t>LYDIA</t>
  </si>
  <si>
    <t>10215342</t>
  </si>
  <si>
    <t>197170005646053</t>
  </si>
  <si>
    <t>MUKAGATARE</t>
  </si>
  <si>
    <t>FRANCOISE</t>
  </si>
  <si>
    <t>10627725X</t>
  </si>
  <si>
    <t>1197270005800052</t>
  </si>
  <si>
    <t>MUKAHIGIRO</t>
  </si>
  <si>
    <t>EMERITHA</t>
  </si>
  <si>
    <t>10627726F</t>
  </si>
  <si>
    <t>1197470006393040</t>
  </si>
  <si>
    <t>MUKAKIGERI</t>
  </si>
  <si>
    <t>SYLIVIA</t>
  </si>
  <si>
    <t>10489447Q</t>
  </si>
  <si>
    <t>1197970123553045</t>
  </si>
  <si>
    <t>MUKAKIMENYI</t>
  </si>
  <si>
    <t>EDITH</t>
  </si>
  <si>
    <t>19329147L</t>
  </si>
  <si>
    <t>1198370019357098</t>
  </si>
  <si>
    <t>MUKAMURIGO</t>
  </si>
  <si>
    <t>REGINE</t>
  </si>
  <si>
    <t>10627731V</t>
  </si>
  <si>
    <t>1197870014489054</t>
  </si>
  <si>
    <t>MUKAMUSONERA</t>
  </si>
  <si>
    <t>NORDINE</t>
  </si>
  <si>
    <t>10627741C</t>
  </si>
  <si>
    <t>1196970004000019</t>
  </si>
  <si>
    <t>MUKANDOLI</t>
  </si>
  <si>
    <t>RUTH</t>
  </si>
  <si>
    <t>10569377B</t>
  </si>
  <si>
    <t>1198770161560062</t>
  </si>
  <si>
    <t>MUKANKUBANA</t>
  </si>
  <si>
    <t>20158682N</t>
  </si>
  <si>
    <t>18702540</t>
  </si>
  <si>
    <t xml:space="preserve">MUKASA </t>
  </si>
  <si>
    <t xml:space="preserve">RUTH </t>
  </si>
  <si>
    <t>20380453M</t>
  </si>
  <si>
    <t>006762603</t>
  </si>
  <si>
    <t xml:space="preserve">MUKEMBO </t>
  </si>
  <si>
    <t>KADRI</t>
  </si>
  <si>
    <t>11114530N</t>
  </si>
  <si>
    <t>B1344229</t>
  </si>
  <si>
    <t>MUKIIBI</t>
  </si>
  <si>
    <t>ANDREW</t>
  </si>
  <si>
    <t>10627727P</t>
  </si>
  <si>
    <t>1197480005935024</t>
  </si>
  <si>
    <t>MUNYABUGINGO</t>
  </si>
  <si>
    <t>MARCEL</t>
  </si>
  <si>
    <t>10679368K</t>
  </si>
  <si>
    <t>3198880220851139</t>
  </si>
  <si>
    <t>MURAMIRA</t>
  </si>
  <si>
    <t>11114541E</t>
  </si>
  <si>
    <t>1198370181230033</t>
  </si>
  <si>
    <t>MUREBWAYIRE</t>
  </si>
  <si>
    <t>JULIET</t>
  </si>
  <si>
    <t>10627759E</t>
  </si>
  <si>
    <t>1198770134260178</t>
  </si>
  <si>
    <t>MUREKATETE</t>
  </si>
  <si>
    <t>GLORIA</t>
  </si>
  <si>
    <t>10627730L</t>
  </si>
  <si>
    <t>1197670008972081</t>
  </si>
  <si>
    <t>EUGENIA</t>
  </si>
  <si>
    <t>10408208Q</t>
  </si>
  <si>
    <t>1198670059432111</t>
  </si>
  <si>
    <t>MURORUNKWERE</t>
  </si>
  <si>
    <t>CLEMENTINE</t>
  </si>
  <si>
    <t>10604620X</t>
  </si>
  <si>
    <t>1198370018929052</t>
  </si>
  <si>
    <t>MUSHIMIYIMANA</t>
  </si>
  <si>
    <t>JOSEPHINE</t>
  </si>
  <si>
    <t>10993660W</t>
  </si>
  <si>
    <t>B11622UU</t>
  </si>
  <si>
    <t xml:space="preserve">MUSIMENTA </t>
  </si>
  <si>
    <t>PETER</t>
  </si>
  <si>
    <t>10215333</t>
  </si>
  <si>
    <t>1197080004769088</t>
  </si>
  <si>
    <t>MUTAZIHARA</t>
  </si>
  <si>
    <t>CHARLES</t>
  </si>
  <si>
    <t>10627737X</t>
  </si>
  <si>
    <t>1198470016531003</t>
  </si>
  <si>
    <t>MUTESI</t>
  </si>
  <si>
    <t>JOANITHA</t>
  </si>
  <si>
    <t>11004163D</t>
  </si>
  <si>
    <t>1198770145849014</t>
  </si>
  <si>
    <t>ANET</t>
  </si>
  <si>
    <t>10812206H</t>
  </si>
  <si>
    <t>1198070167470036</t>
  </si>
  <si>
    <t>VENA</t>
  </si>
  <si>
    <t>10489455F</t>
  </si>
  <si>
    <t>1198770164023096</t>
  </si>
  <si>
    <t>MUTONI</t>
  </si>
  <si>
    <t>PEACE</t>
  </si>
  <si>
    <t>20716447E</t>
  </si>
  <si>
    <t>1200480178149000</t>
  </si>
  <si>
    <t>MUVARA</t>
  </si>
  <si>
    <t>20656357H</t>
  </si>
  <si>
    <t>1198980195692006</t>
  </si>
  <si>
    <t>MWUMVANEZA</t>
  </si>
  <si>
    <t>JULES</t>
  </si>
  <si>
    <t>20717470X</t>
  </si>
  <si>
    <t>B00432459</t>
  </si>
  <si>
    <t>NABAASA</t>
  </si>
  <si>
    <t>SARAH</t>
  </si>
  <si>
    <t>10784469F</t>
  </si>
  <si>
    <t>1198870184356065</t>
  </si>
  <si>
    <t>NABINTU</t>
  </si>
  <si>
    <t>AIMEE</t>
  </si>
  <si>
    <t>10385266J</t>
  </si>
  <si>
    <t>CF750681019JHK</t>
  </si>
  <si>
    <t>NAGUJJA</t>
  </si>
  <si>
    <t>ADIAH</t>
  </si>
  <si>
    <t>10556459P</t>
  </si>
  <si>
    <t>1198480204910189</t>
  </si>
  <si>
    <t>NALUWAIRO</t>
  </si>
  <si>
    <t>DAN</t>
  </si>
  <si>
    <t>10489451W</t>
  </si>
  <si>
    <t>3198370183693056</t>
  </si>
  <si>
    <t>NAMATOVU</t>
  </si>
  <si>
    <t>19969431H</t>
  </si>
  <si>
    <t>U68326</t>
  </si>
  <si>
    <t>NAMULI SARAH</t>
  </si>
  <si>
    <t>NAKAKANDE</t>
  </si>
  <si>
    <t>19478243C</t>
  </si>
  <si>
    <t>3198170158725176</t>
  </si>
  <si>
    <t>NANSUBUGA</t>
  </si>
  <si>
    <t>DEBORAH MIIRO</t>
  </si>
  <si>
    <t>10385317L</t>
  </si>
  <si>
    <t>3197870138181023</t>
  </si>
  <si>
    <t>NASSOZI</t>
  </si>
  <si>
    <t>19702578K</t>
  </si>
  <si>
    <t>010460557</t>
  </si>
  <si>
    <t>NDAGIRE</t>
  </si>
  <si>
    <t>PAULINE</t>
  </si>
  <si>
    <t>19461779S</t>
  </si>
  <si>
    <t>2199170210666131</t>
  </si>
  <si>
    <t>NDAYIRAGIJE</t>
  </si>
  <si>
    <t xml:space="preserve"> MARIE THERESE</t>
  </si>
  <si>
    <t>19554319L</t>
  </si>
  <si>
    <t>198470205232026</t>
  </si>
  <si>
    <t>NEZA</t>
  </si>
  <si>
    <t>MARIE ANNICK</t>
  </si>
  <si>
    <t>10718850M</t>
  </si>
  <si>
    <t>1198680010564244</t>
  </si>
  <si>
    <t>NGIRARUBANDA  JEAN</t>
  </si>
  <si>
    <t>DAMASENI</t>
  </si>
  <si>
    <t>19974818G</t>
  </si>
  <si>
    <t>2198680204039136</t>
  </si>
  <si>
    <t>NIYONGABO</t>
  </si>
  <si>
    <t>FERDINAND</t>
  </si>
  <si>
    <t>19427997T</t>
  </si>
  <si>
    <t>5310305135867</t>
  </si>
  <si>
    <t>NKURUNZIZA</t>
  </si>
  <si>
    <t>20251330L</t>
  </si>
  <si>
    <t>1198480139563079</t>
  </si>
  <si>
    <t>NSANZAMAHORO</t>
  </si>
  <si>
    <t>JEAN DAMASCENE</t>
  </si>
  <si>
    <t>10403388F</t>
  </si>
  <si>
    <t>1197280005516089</t>
  </si>
  <si>
    <t>NTAMPAKA</t>
  </si>
  <si>
    <t>STEVEN</t>
  </si>
  <si>
    <t>10627761S</t>
  </si>
  <si>
    <t>1198780008934088</t>
  </si>
  <si>
    <t>NYANDWI</t>
  </si>
  <si>
    <t>10414145W</t>
  </si>
  <si>
    <t>1198370025275042</t>
  </si>
  <si>
    <t xml:space="preserve">NYINAWUMUNTU </t>
  </si>
  <si>
    <t>JUSTINE</t>
  </si>
  <si>
    <t>19742261E</t>
  </si>
  <si>
    <t>119937003919072</t>
  </si>
  <si>
    <t xml:space="preserve">NYIRAMATAMA </t>
  </si>
  <si>
    <t>YVETTE</t>
  </si>
  <si>
    <t>10715866F</t>
  </si>
  <si>
    <t>1198980200292610</t>
  </si>
  <si>
    <t xml:space="preserve">NZABAHIMANA </t>
  </si>
  <si>
    <t>ELYSEE</t>
  </si>
  <si>
    <t>19950257J</t>
  </si>
  <si>
    <t>2198870225342150</t>
  </si>
  <si>
    <t xml:space="preserve">NZOSABA </t>
  </si>
  <si>
    <t>JEANNINE</t>
  </si>
  <si>
    <t>19373434L</t>
  </si>
  <si>
    <t>2198680204204115</t>
  </si>
  <si>
    <t>PASTEUR</t>
  </si>
  <si>
    <t>UWIKUNDA</t>
  </si>
  <si>
    <t>20462581E</t>
  </si>
  <si>
    <t>3199980230898096</t>
  </si>
  <si>
    <t xml:space="preserve">PLACIDE </t>
  </si>
  <si>
    <t>MASHANDE MALIKE</t>
  </si>
  <si>
    <t>20059938Z</t>
  </si>
  <si>
    <t>3198670204486090</t>
  </si>
  <si>
    <t>REHEMA  IMMACULEE</t>
  </si>
  <si>
    <t>MAMPOKA</t>
  </si>
  <si>
    <t>10608992J</t>
  </si>
  <si>
    <t>1198780157936019</t>
  </si>
  <si>
    <t>ROMAIN</t>
  </si>
  <si>
    <t>NDISEBUYE</t>
  </si>
  <si>
    <t>19713746B</t>
  </si>
  <si>
    <t>1199680221414004</t>
  </si>
  <si>
    <t>RUGAMBA</t>
  </si>
  <si>
    <t>FRANK</t>
  </si>
  <si>
    <t>19478244L</t>
  </si>
  <si>
    <t>1196680059749091</t>
  </si>
  <si>
    <t>RUHIMBANA</t>
  </si>
  <si>
    <t>10385327T</t>
  </si>
  <si>
    <t>3197480107281149</t>
  </si>
  <si>
    <t>RURANGIRWA</t>
  </si>
  <si>
    <t>EDWARD</t>
  </si>
  <si>
    <t>19554318C</t>
  </si>
  <si>
    <t>197280009046154</t>
  </si>
  <si>
    <t>RUTAGONYA</t>
  </si>
  <si>
    <t>SUDI</t>
  </si>
  <si>
    <t>10403383M</t>
  </si>
  <si>
    <t>3197980136830114</t>
  </si>
  <si>
    <t>RWAHWIRE</t>
  </si>
  <si>
    <t>MUHAMED</t>
  </si>
  <si>
    <t>10358115J</t>
  </si>
  <si>
    <t>1197980018367064</t>
  </si>
  <si>
    <t xml:space="preserve">RWAMANYWA </t>
  </si>
  <si>
    <t>ALEXANDRE</t>
  </si>
  <si>
    <t>11004173L</t>
  </si>
  <si>
    <t>1199280107249197</t>
  </si>
  <si>
    <t>RWIGAMBA</t>
  </si>
  <si>
    <t>EMMY</t>
  </si>
  <si>
    <t>20394823R</t>
  </si>
  <si>
    <t>OP02184491</t>
  </si>
  <si>
    <t>Niyomuco</t>
  </si>
  <si>
    <t>11011476V</t>
  </si>
  <si>
    <t>CM68012104NUOJ</t>
  </si>
  <si>
    <t>SEBALAMU</t>
  </si>
  <si>
    <t>10818063X</t>
  </si>
  <si>
    <t>1197880009513058</t>
  </si>
  <si>
    <t xml:space="preserve">SEBAZUNGU </t>
  </si>
  <si>
    <t>ALPHRED</t>
  </si>
  <si>
    <t>20440716N</t>
  </si>
  <si>
    <t>1199780216265007</t>
  </si>
  <si>
    <t xml:space="preserve">SIBOMANA </t>
  </si>
  <si>
    <t>DANIEL</t>
  </si>
  <si>
    <t>10627748N</t>
  </si>
  <si>
    <t>1198170131793108</t>
  </si>
  <si>
    <t>SIFA</t>
  </si>
  <si>
    <t>10923098T</t>
  </si>
  <si>
    <t>1198780011918021</t>
  </si>
  <si>
    <t>SINDAYIGAYA</t>
  </si>
  <si>
    <t>ERIC</t>
  </si>
  <si>
    <t>11004170K</t>
  </si>
  <si>
    <t>3197880013841501</t>
  </si>
  <si>
    <t>TABU</t>
  </si>
  <si>
    <t>NELSON</t>
  </si>
  <si>
    <t>10606376D</t>
  </si>
  <si>
    <t>3198280208098010</t>
  </si>
  <si>
    <t>TUGUME  RUSIANO</t>
  </si>
  <si>
    <t>GODFREY</t>
  </si>
  <si>
    <t>10452675H</t>
  </si>
  <si>
    <t>1198080022919110</t>
  </si>
  <si>
    <t xml:space="preserve">TUMUSIIME </t>
  </si>
  <si>
    <t>BOND</t>
  </si>
  <si>
    <t>10679364A</t>
  </si>
  <si>
    <t>B0999254</t>
  </si>
  <si>
    <t>TUMWIKIRIZE</t>
  </si>
  <si>
    <t>ENOS</t>
  </si>
  <si>
    <t>10976960Y</t>
  </si>
  <si>
    <t>B0868200</t>
  </si>
  <si>
    <t>TURYASASIBWA</t>
  </si>
  <si>
    <t>IVAN MEDARD</t>
  </si>
  <si>
    <t>10964179R</t>
  </si>
  <si>
    <t>1199580003907127</t>
  </si>
  <si>
    <t xml:space="preserve">TUYAMBAZE </t>
  </si>
  <si>
    <t xml:space="preserve">VINCENT </t>
  </si>
  <si>
    <t>20415015Y</t>
  </si>
  <si>
    <t>2199570214413192</t>
  </si>
  <si>
    <t xml:space="preserve">TUYIZERE </t>
  </si>
  <si>
    <t>GHISLAINE</t>
  </si>
  <si>
    <t>20130499L</t>
  </si>
  <si>
    <t>1200280204534030</t>
  </si>
  <si>
    <t>AIME</t>
  </si>
  <si>
    <t>10627728Y</t>
  </si>
  <si>
    <t>1197480084656058</t>
  </si>
  <si>
    <t>TWAGIRUMWAMI</t>
  </si>
  <si>
    <t>LEONALD</t>
  </si>
  <si>
    <t>10718849H</t>
  </si>
  <si>
    <t>1197880011542006</t>
  </si>
  <si>
    <t>FABIEN</t>
  </si>
  <si>
    <t>11114531X</t>
  </si>
  <si>
    <t>3198380183683148</t>
  </si>
  <si>
    <t>TWINOBUHUNGIRO</t>
  </si>
  <si>
    <t>AGGREY</t>
  </si>
  <si>
    <t>CM84061103NQMD</t>
  </si>
  <si>
    <t>UBONAKUZE</t>
  </si>
  <si>
    <t>10414949H</t>
  </si>
  <si>
    <t>1197480007846170</t>
  </si>
  <si>
    <t>UKOMEJEGUSENGA</t>
  </si>
  <si>
    <t>10503895Y</t>
  </si>
  <si>
    <t>1198680028849009</t>
  </si>
  <si>
    <t xml:space="preserve">UKURIKIYIMFURA </t>
  </si>
  <si>
    <t>JEAN BOSCO</t>
  </si>
  <si>
    <t>20223404B</t>
  </si>
  <si>
    <t>1199680126570031</t>
  </si>
  <si>
    <t xml:space="preserve">UMULISA </t>
  </si>
  <si>
    <t>PACIFIQUE</t>
  </si>
  <si>
    <t>10627892F</t>
  </si>
  <si>
    <t>1198870016448263</t>
  </si>
  <si>
    <t>UMURIZA</t>
  </si>
  <si>
    <t>CATHELINE</t>
  </si>
  <si>
    <t>19702095F</t>
  </si>
  <si>
    <t>1199470028685133</t>
  </si>
  <si>
    <t>UWANYIRIGIRA</t>
  </si>
  <si>
    <t>PHIONAH</t>
  </si>
  <si>
    <t>10627745M</t>
  </si>
  <si>
    <t>1197970009372022</t>
  </si>
  <si>
    <t>UWANZIGA</t>
  </si>
  <si>
    <t>DONATHA</t>
  </si>
  <si>
    <t>10745007E</t>
  </si>
  <si>
    <t>1198270205484114</t>
  </si>
  <si>
    <t>UWASE</t>
  </si>
  <si>
    <t>WINFRED</t>
  </si>
  <si>
    <t>10440556E</t>
  </si>
  <si>
    <t>1197370009421014</t>
  </si>
  <si>
    <t>UWICYEZA</t>
  </si>
  <si>
    <t>MARY</t>
  </si>
  <si>
    <t>19427993J</t>
  </si>
  <si>
    <t>1199570197218070</t>
  </si>
  <si>
    <t xml:space="preserve">UWIMANA </t>
  </si>
  <si>
    <t>10549593L</t>
  </si>
  <si>
    <t>7233371</t>
  </si>
  <si>
    <t xml:space="preserve">UWIZEYIMANA </t>
  </si>
  <si>
    <t>ANASTASE</t>
  </si>
  <si>
    <t>20672172A</t>
  </si>
  <si>
    <t>1200180064012010</t>
  </si>
  <si>
    <t>Venias</t>
  </si>
  <si>
    <t>SIBOBUGINGO</t>
  </si>
  <si>
    <t>20842765H</t>
  </si>
  <si>
    <t>1200380107636074</t>
  </si>
  <si>
    <t>Moise</t>
  </si>
  <si>
    <t>MURAGIJIMANA</t>
  </si>
  <si>
    <t>20842781F</t>
  </si>
  <si>
    <t>Aimable</t>
  </si>
  <si>
    <t>NSHUTI</t>
  </si>
  <si>
    <t>20878516V</t>
  </si>
  <si>
    <t>B00272115</t>
  </si>
  <si>
    <t>NSABIYUMVA</t>
  </si>
  <si>
    <t>MIRACLE</t>
  </si>
  <si>
    <t>20820430L</t>
  </si>
  <si>
    <t>P00072175</t>
  </si>
  <si>
    <t>NSABIMANA</t>
  </si>
  <si>
    <t>IMMACULEE</t>
  </si>
  <si>
    <t>20298796L</t>
  </si>
  <si>
    <t>1198780148135019</t>
  </si>
  <si>
    <t xml:space="preserve">MWANAGUHABA </t>
  </si>
  <si>
    <t>20914075E</t>
  </si>
  <si>
    <t>B00639720</t>
  </si>
  <si>
    <t>AKAMPURIRA</t>
  </si>
  <si>
    <t>VANESA</t>
  </si>
  <si>
    <t>19400796A</t>
  </si>
  <si>
    <t>1198780014866326</t>
  </si>
  <si>
    <t xml:space="preserve">NTARE </t>
  </si>
  <si>
    <t>BENJAMIN</t>
  </si>
  <si>
    <t>20060945L</t>
  </si>
  <si>
    <t>2198180160278010</t>
  </si>
  <si>
    <t>IRAKOZE</t>
  </si>
  <si>
    <t>PROSPER</t>
  </si>
  <si>
    <t>National ID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</si>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</sst>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5" fillId="0" borderId="0"/>
    <xf numFmtId="0" fontId="6" fillId="0" borderId="0"/>
    <xf numFmtId="0" fontId="5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64" fontId="3" fillId="2" borderId="1" xfId="1" applyFont="1" applyFill="1" applyBorder="1" applyAlignment="1">
      <alignment wrapText="1"/>
    </xf>
    <xf numFmtId="164" fontId="2" fillId="2" borderId="1" xfId="1" applyFont="1" applyFill="1" applyBorder="1" applyAlignment="1">
      <alignment wrapText="1"/>
    </xf>
    <xf numFmtId="49" fontId="4" fillId="0" borderId="1" xfId="2" applyNumberFormat="1" applyFont="1" applyBorder="1" applyAlignment="1" applyProtection="1">
      <alignment wrapText="1"/>
      <protection locked="0"/>
    </xf>
    <xf numFmtId="49" fontId="4" fillId="0" borderId="1" xfId="3" applyNumberFormat="1" applyFont="1" applyBorder="1" applyAlignment="1" applyProtection="1">
      <alignment wrapText="1"/>
      <protection locked="0"/>
    </xf>
    <xf numFmtId="0" fontId="4" fillId="0" borderId="1" xfId="2" applyFont="1" applyBorder="1" applyAlignment="1" applyProtection="1">
      <alignment wrapText="1"/>
      <protection locked="0"/>
    </xf>
    <xf numFmtId="0" fontId="4" fillId="0" borderId="1" xfId="0" applyFont="1" applyBorder="1" applyAlignment="1" applyProtection="1">
      <alignment wrapText="1"/>
      <protection locked="0"/>
    </xf>
    <xf numFmtId="165" fontId="4" fillId="0" borderId="1" xfId="1" applyNumberFormat="1" applyFont="1" applyFill="1" applyBorder="1" applyAlignment="1" applyProtection="1">
      <alignment wrapText="1"/>
      <protection locked="0"/>
    </xf>
    <xf numFmtId="166" fontId="4" fillId="0" borderId="1" xfId="2" applyNumberFormat="1" applyFont="1" applyBorder="1" applyAlignment="1" applyProtection="1">
      <alignment wrapText="1"/>
      <protection locked="0"/>
    </xf>
    <xf numFmtId="49" fontId="4" fillId="0" borderId="1" xfId="0" quotePrefix="1" applyNumberFormat="1" applyFont="1" applyBorder="1" applyAlignment="1" applyProtection="1">
      <alignment horizontal="left" wrapText="1"/>
      <protection locked="0"/>
    </xf>
    <xf numFmtId="49" fontId="4" fillId="0" borderId="1" xfId="0" applyNumberFormat="1" applyFont="1" applyBorder="1" applyAlignment="1" applyProtection="1">
      <alignment horizontal="left" wrapText="1"/>
      <protection locked="0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49" fontId="4" fillId="0" borderId="1" xfId="4" applyNumberFormat="1" applyFont="1" applyBorder="1" applyAlignment="1" applyProtection="1">
      <alignment vertical="top" wrapText="1"/>
      <protection locked="0"/>
    </xf>
    <xf numFmtId="49" fontId="4" fillId="0" borderId="1" xfId="4" applyNumberFormat="1" applyFont="1" applyBorder="1" applyAlignment="1" applyProtection="1">
      <alignment wrapText="1"/>
      <protection locked="0"/>
    </xf>
    <xf numFmtId="0" fontId="4" fillId="0" borderId="1" xfId="5" applyFont="1" applyBorder="1" applyAlignment="1" applyProtection="1">
      <alignment wrapText="1"/>
      <protection locked="0"/>
    </xf>
    <xf numFmtId="0" fontId="4" fillId="0" borderId="1" xfId="0" quotePrefix="1" applyFont="1" applyBorder="1" applyAlignment="1">
      <alignment wrapText="1"/>
    </xf>
    <xf numFmtId="49" fontId="4" fillId="0" borderId="1" xfId="3" quotePrefix="1" applyNumberFormat="1" applyFont="1" applyBorder="1" applyAlignment="1" applyProtection="1">
      <alignment wrapText="1"/>
      <protection locked="0"/>
    </xf>
    <xf numFmtId="0" fontId="4" fillId="0" borderId="2" xfId="2" applyFont="1" applyBorder="1" applyAlignment="1" applyProtection="1">
      <alignment wrapText="1"/>
      <protection locked="0"/>
    </xf>
    <xf numFmtId="49" fontId="4" fillId="0" borderId="1" xfId="0" applyNumberFormat="1" applyFont="1" applyBorder="1" applyAlignment="1" applyProtection="1">
      <alignment wrapText="1"/>
      <protection locked="0"/>
    </xf>
    <xf numFmtId="49" fontId="4" fillId="0" borderId="1" xfId="0" applyNumberFormat="1" applyFont="1" applyBorder="1" applyAlignment="1">
      <alignment horizontal="left" wrapText="1"/>
    </xf>
    <xf numFmtId="49" fontId="4" fillId="0" borderId="0" xfId="3" applyNumberFormat="1" applyFont="1" applyAlignment="1" applyProtection="1">
      <alignment wrapText="1"/>
      <protection locked="0"/>
    </xf>
    <xf numFmtId="49" fontId="4" fillId="0" borderId="1" xfId="0" quotePrefix="1" applyNumberFormat="1" applyFont="1" applyBorder="1" applyAlignment="1" applyProtection="1">
      <alignment wrapText="1"/>
      <protection locked="0"/>
    </xf>
  </cellXfs>
  <cellStyles count="6">
    <cellStyle name="Comma" xfId="1" builtinId="3"/>
    <cellStyle name="Normal" xfId="0" builtinId="0"/>
    <cellStyle name="Normal 10" xfId="4"/>
    <cellStyle name="Normal 12" xfId="5"/>
    <cellStyle name="Normal 8" xfId="2"/>
    <cellStyle name="Normal_Sheet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1"/>
  <sheetViews>
    <sheetView tabSelected="1" workbookViewId="0">
      <selection activeCell="G2" sqref="G2"/>
    </sheetView>
  </sheetViews>
  <sheetFormatPr defaultRowHeight="14.5" x14ac:dyDescent="0.35"/>
  <cols>
    <col min="5" max="5" width="5.26953125" bestFit="1" customWidth="1"/>
    <col min="6" max="6" width="11.26953125" bestFit="1" customWidth="1"/>
    <col min="7" max="10" width="9.54296875" bestFit="1" customWidth="1"/>
    <col min="11" max="11" width="11.26953125" bestFit="1" customWidth="1"/>
  </cols>
  <sheetData>
    <row r="1" spans="1:11" ht="60.5" x14ac:dyDescent="0.35">
      <c r="A1" s="1" t="s">
        <v>0</v>
      </c>
      <c r="B1" s="1" t="s">
        <v>736</v>
      </c>
      <c r="C1" s="2" t="s">
        <v>1</v>
      </c>
      <c r="D1" s="2" t="s">
        <v>737</v>
      </c>
      <c r="E1" s="2" t="s">
        <v>2</v>
      </c>
      <c r="F1" s="2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4" t="s">
        <v>8</v>
      </c>
    </row>
    <row r="2" spans="1:11" ht="46.5" x14ac:dyDescent="0.35">
      <c r="A2" s="5" t="s">
        <v>9</v>
      </c>
      <c r="B2" s="6" t="s">
        <v>10</v>
      </c>
      <c r="C2" s="7" t="s">
        <v>11</v>
      </c>
      <c r="D2" s="7" t="s">
        <v>12</v>
      </c>
      <c r="E2" s="8" t="s">
        <v>13</v>
      </c>
      <c r="F2" s="9">
        <f t="shared" ref="F2:F65" si="0">K2*70/100</f>
        <v>549418.60465116275</v>
      </c>
      <c r="G2" s="9">
        <f t="shared" ref="G2:G65" si="1">H2+I2+J2</f>
        <v>235465.11627906974</v>
      </c>
      <c r="H2" s="9">
        <f t="shared" ref="H2:H65" si="2">K2*10/100</f>
        <v>78488.372093023252</v>
      </c>
      <c r="I2" s="9">
        <f t="shared" ref="I2:I65" si="3">K2*10/100</f>
        <v>78488.372093023252</v>
      </c>
      <c r="J2" s="9">
        <f t="shared" ref="J2:J65" si="4">K2*10/100</f>
        <v>78488.372093023252</v>
      </c>
      <c r="K2" s="10">
        <v>784883.72093023255</v>
      </c>
    </row>
    <row r="3" spans="1:11" ht="46.5" x14ac:dyDescent="0.35">
      <c r="A3" s="5" t="s">
        <v>14</v>
      </c>
      <c r="B3" s="6" t="s">
        <v>15</v>
      </c>
      <c r="C3" s="7" t="s">
        <v>16</v>
      </c>
      <c r="D3" s="7" t="s">
        <v>17</v>
      </c>
      <c r="E3" s="8" t="s">
        <v>18</v>
      </c>
      <c r="F3" s="9">
        <f t="shared" si="0"/>
        <v>549418.60465116275</v>
      </c>
      <c r="G3" s="9">
        <f t="shared" si="1"/>
        <v>235465.11627906974</v>
      </c>
      <c r="H3" s="9">
        <f t="shared" si="2"/>
        <v>78488.372093023252</v>
      </c>
      <c r="I3" s="9">
        <f t="shared" si="3"/>
        <v>78488.372093023252</v>
      </c>
      <c r="J3" s="9">
        <f t="shared" si="4"/>
        <v>78488.372093023252</v>
      </c>
      <c r="K3" s="10">
        <v>784883.72093023255</v>
      </c>
    </row>
    <row r="4" spans="1:11" ht="46.5" x14ac:dyDescent="0.35">
      <c r="A4" s="5" t="s">
        <v>19</v>
      </c>
      <c r="B4" s="6" t="s">
        <v>20</v>
      </c>
      <c r="C4" s="7" t="s">
        <v>21</v>
      </c>
      <c r="D4" s="7" t="s">
        <v>22</v>
      </c>
      <c r="E4" s="8" t="s">
        <v>18</v>
      </c>
      <c r="F4" s="9">
        <f>K4*70/100</f>
        <v>639192.88645690866</v>
      </c>
      <c r="G4" s="9">
        <f t="shared" si="1"/>
        <v>273939.80848153227</v>
      </c>
      <c r="H4" s="9">
        <f>K4*10/100</f>
        <v>91313.269493844098</v>
      </c>
      <c r="I4" s="9">
        <f>K4*10/100</f>
        <v>91313.269493844098</v>
      </c>
      <c r="J4" s="9">
        <f>K4*10/100</f>
        <v>91313.269493844098</v>
      </c>
      <c r="K4" s="10">
        <v>913132.69493844092</v>
      </c>
    </row>
    <row r="5" spans="1:11" ht="31" x14ac:dyDescent="0.35">
      <c r="A5" s="5" t="s">
        <v>23</v>
      </c>
      <c r="B5" s="6" t="s">
        <v>24</v>
      </c>
      <c r="C5" s="7" t="s">
        <v>25</v>
      </c>
      <c r="D5" s="7" t="s">
        <v>26</v>
      </c>
      <c r="E5" s="8" t="s">
        <v>13</v>
      </c>
      <c r="F5" s="9">
        <f t="shared" si="0"/>
        <v>519493.84404924785</v>
      </c>
      <c r="G5" s="9">
        <f t="shared" si="1"/>
        <v>222640.21887824911</v>
      </c>
      <c r="H5" s="9">
        <f t="shared" si="2"/>
        <v>74213.4062927497</v>
      </c>
      <c r="I5" s="9">
        <f t="shared" si="3"/>
        <v>74213.4062927497</v>
      </c>
      <c r="J5" s="9">
        <f t="shared" si="4"/>
        <v>74213.4062927497</v>
      </c>
      <c r="K5" s="10">
        <v>742134.06292749697</v>
      </c>
    </row>
    <row r="6" spans="1:11" ht="46.5" x14ac:dyDescent="0.35">
      <c r="A6" s="5" t="s">
        <v>27</v>
      </c>
      <c r="B6" s="6" t="s">
        <v>28</v>
      </c>
      <c r="C6" s="7" t="s">
        <v>25</v>
      </c>
      <c r="D6" s="7" t="s">
        <v>29</v>
      </c>
      <c r="E6" s="8" t="s">
        <v>13</v>
      </c>
      <c r="F6" s="9">
        <f t="shared" si="0"/>
        <v>470417.23666210665</v>
      </c>
      <c r="G6" s="9">
        <f t="shared" si="1"/>
        <v>201607.38714090284</v>
      </c>
      <c r="H6" s="9">
        <f t="shared" si="2"/>
        <v>67202.462380300945</v>
      </c>
      <c r="I6" s="9">
        <f t="shared" si="3"/>
        <v>67202.462380300945</v>
      </c>
      <c r="J6" s="9">
        <f t="shared" si="4"/>
        <v>67202.462380300945</v>
      </c>
      <c r="K6" s="10">
        <v>672024.62380300951</v>
      </c>
    </row>
    <row r="7" spans="1:11" ht="46.5" x14ac:dyDescent="0.35">
      <c r="A7" s="5" t="s">
        <v>30</v>
      </c>
      <c r="B7" s="6" t="s">
        <v>31</v>
      </c>
      <c r="C7" s="7" t="s">
        <v>32</v>
      </c>
      <c r="D7" s="7" t="s">
        <v>33</v>
      </c>
      <c r="E7" s="8" t="s">
        <v>13</v>
      </c>
      <c r="F7" s="9">
        <f t="shared" si="0"/>
        <v>480292.40766073868</v>
      </c>
      <c r="G7" s="9">
        <f t="shared" si="1"/>
        <v>205839.60328317375</v>
      </c>
      <c r="H7" s="9">
        <f t="shared" si="2"/>
        <v>68613.201094391246</v>
      </c>
      <c r="I7" s="9">
        <f t="shared" si="3"/>
        <v>68613.201094391246</v>
      </c>
      <c r="J7" s="9">
        <f t="shared" si="4"/>
        <v>68613.201094391246</v>
      </c>
      <c r="K7" s="10">
        <v>686132.01094391244</v>
      </c>
    </row>
    <row r="8" spans="1:11" ht="46.5" x14ac:dyDescent="0.35">
      <c r="A8" s="5" t="s">
        <v>34</v>
      </c>
      <c r="B8" s="6" t="s">
        <v>35</v>
      </c>
      <c r="C8" s="7" t="s">
        <v>36</v>
      </c>
      <c r="D8" s="7" t="s">
        <v>37</v>
      </c>
      <c r="E8" s="8" t="s">
        <v>13</v>
      </c>
      <c r="F8" s="9">
        <f t="shared" si="0"/>
        <v>450666.89466484217</v>
      </c>
      <c r="G8" s="9">
        <f t="shared" si="1"/>
        <v>193142.95485636091</v>
      </c>
      <c r="H8" s="9">
        <f t="shared" si="2"/>
        <v>64380.984952120307</v>
      </c>
      <c r="I8" s="9">
        <f t="shared" si="3"/>
        <v>64380.984952120307</v>
      </c>
      <c r="J8" s="9">
        <f t="shared" si="4"/>
        <v>64380.984952120307</v>
      </c>
      <c r="K8" s="10">
        <v>643809.84952120308</v>
      </c>
    </row>
    <row r="9" spans="1:11" ht="46.5" x14ac:dyDescent="0.35">
      <c r="A9" s="5" t="s">
        <v>38</v>
      </c>
      <c r="B9" s="6" t="s">
        <v>39</v>
      </c>
      <c r="C9" s="7" t="s">
        <v>40</v>
      </c>
      <c r="D9" s="7" t="s">
        <v>41</v>
      </c>
      <c r="E9" s="8" t="s">
        <v>13</v>
      </c>
      <c r="F9" s="9">
        <f t="shared" si="0"/>
        <v>470417.23666210676</v>
      </c>
      <c r="G9" s="9">
        <f t="shared" si="1"/>
        <v>201607.38714090287</v>
      </c>
      <c r="H9" s="9">
        <f t="shared" si="2"/>
        <v>67202.46238030096</v>
      </c>
      <c r="I9" s="9">
        <f t="shared" si="3"/>
        <v>67202.46238030096</v>
      </c>
      <c r="J9" s="9">
        <f t="shared" si="4"/>
        <v>67202.46238030096</v>
      </c>
      <c r="K9" s="10">
        <v>672024.62380300963</v>
      </c>
    </row>
    <row r="10" spans="1:11" ht="46.5" x14ac:dyDescent="0.35">
      <c r="A10" s="5" t="s">
        <v>42</v>
      </c>
      <c r="B10" s="6" t="s">
        <v>43</v>
      </c>
      <c r="C10" s="7" t="s">
        <v>44</v>
      </c>
      <c r="D10" s="7" t="s">
        <v>45</v>
      </c>
      <c r="E10" s="8" t="s">
        <v>13</v>
      </c>
      <c r="F10" s="9">
        <f t="shared" si="0"/>
        <v>470417.23666210676</v>
      </c>
      <c r="G10" s="9">
        <f t="shared" si="1"/>
        <v>201607.38714090287</v>
      </c>
      <c r="H10" s="9">
        <f t="shared" si="2"/>
        <v>67202.46238030096</v>
      </c>
      <c r="I10" s="9">
        <f t="shared" si="3"/>
        <v>67202.46238030096</v>
      </c>
      <c r="J10" s="9">
        <f t="shared" si="4"/>
        <v>67202.46238030096</v>
      </c>
      <c r="K10" s="10">
        <v>672024.62380300963</v>
      </c>
    </row>
    <row r="11" spans="1:11" ht="46.5" x14ac:dyDescent="0.35">
      <c r="A11" s="5" t="s">
        <v>46</v>
      </c>
      <c r="B11" s="6" t="s">
        <v>47</v>
      </c>
      <c r="C11" s="7" t="s">
        <v>48</v>
      </c>
      <c r="D11" s="7" t="s">
        <v>49</v>
      </c>
      <c r="E11" s="8" t="s">
        <v>18</v>
      </c>
      <c r="F11" s="9">
        <f t="shared" si="0"/>
        <v>532959.98632010957</v>
      </c>
      <c r="G11" s="9">
        <f t="shared" si="1"/>
        <v>228411.4227086184</v>
      </c>
      <c r="H11" s="9">
        <f t="shared" si="2"/>
        <v>76137.140902872794</v>
      </c>
      <c r="I11" s="9">
        <f t="shared" si="3"/>
        <v>76137.140902872794</v>
      </c>
      <c r="J11" s="9">
        <f t="shared" si="4"/>
        <v>76137.140902872794</v>
      </c>
      <c r="K11" s="10">
        <v>761371.40902872791</v>
      </c>
    </row>
    <row r="12" spans="1:11" ht="46.5" x14ac:dyDescent="0.35">
      <c r="A12" s="5" t="s">
        <v>50</v>
      </c>
      <c r="B12" s="6" t="s">
        <v>51</v>
      </c>
      <c r="C12" s="7" t="s">
        <v>52</v>
      </c>
      <c r="D12" s="7" t="s">
        <v>53</v>
      </c>
      <c r="E12" s="8" t="s">
        <v>18</v>
      </c>
      <c r="F12" s="9">
        <f t="shared" si="0"/>
        <v>121273.36448598134</v>
      </c>
      <c r="G12" s="9">
        <f t="shared" si="1"/>
        <v>51974.299065420564</v>
      </c>
      <c r="H12" s="9">
        <f t="shared" si="2"/>
        <v>17324.766355140189</v>
      </c>
      <c r="I12" s="9">
        <f t="shared" si="3"/>
        <v>17324.766355140189</v>
      </c>
      <c r="J12" s="9">
        <f t="shared" si="4"/>
        <v>17324.766355140189</v>
      </c>
      <c r="K12" s="10">
        <v>173247.6635514019</v>
      </c>
    </row>
    <row r="13" spans="1:11" ht="31" x14ac:dyDescent="0.35">
      <c r="A13" s="5" t="s">
        <v>54</v>
      </c>
      <c r="B13" s="11" t="s">
        <v>55</v>
      </c>
      <c r="C13" s="12" t="s">
        <v>56</v>
      </c>
      <c r="D13" s="13" t="s">
        <v>57</v>
      </c>
      <c r="E13" s="8" t="s">
        <v>18</v>
      </c>
      <c r="F13" s="9">
        <f t="shared" si="0"/>
        <v>531463.74829001341</v>
      </c>
      <c r="G13" s="9">
        <f t="shared" si="1"/>
        <v>227770.17783857716</v>
      </c>
      <c r="H13" s="9">
        <f t="shared" si="2"/>
        <v>75923.392612859054</v>
      </c>
      <c r="I13" s="9">
        <f t="shared" si="3"/>
        <v>75923.392612859054</v>
      </c>
      <c r="J13" s="9">
        <f t="shared" si="4"/>
        <v>75923.392612859054</v>
      </c>
      <c r="K13" s="10">
        <v>759233.9261285906</v>
      </c>
    </row>
    <row r="14" spans="1:11" ht="46.5" x14ac:dyDescent="0.35">
      <c r="A14" s="5" t="s">
        <v>58</v>
      </c>
      <c r="B14" s="6" t="s">
        <v>59</v>
      </c>
      <c r="C14" s="7" t="s">
        <v>60</v>
      </c>
      <c r="D14" s="7" t="s">
        <v>61</v>
      </c>
      <c r="E14" s="8" t="s">
        <v>13</v>
      </c>
      <c r="F14" s="9">
        <f t="shared" si="0"/>
        <v>129369.15887850497</v>
      </c>
      <c r="G14" s="9">
        <f t="shared" si="1"/>
        <v>55443.925233644986</v>
      </c>
      <c r="H14" s="9">
        <f t="shared" si="2"/>
        <v>18481.308411214995</v>
      </c>
      <c r="I14" s="9">
        <f t="shared" si="3"/>
        <v>18481.308411214995</v>
      </c>
      <c r="J14" s="9">
        <f t="shared" si="4"/>
        <v>18481.308411214995</v>
      </c>
      <c r="K14" s="10">
        <v>184813.08411214995</v>
      </c>
    </row>
    <row r="15" spans="1:11" ht="46.5" x14ac:dyDescent="0.35">
      <c r="A15" s="5" t="s">
        <v>62</v>
      </c>
      <c r="B15" s="6" t="s">
        <v>63</v>
      </c>
      <c r="C15" s="7" t="s">
        <v>64</v>
      </c>
      <c r="D15" s="7" t="s">
        <v>65</v>
      </c>
      <c r="E15" s="8" t="s">
        <v>13</v>
      </c>
      <c r="F15" s="9">
        <f t="shared" si="0"/>
        <v>470417.23666210676</v>
      </c>
      <c r="G15" s="9">
        <f t="shared" si="1"/>
        <v>201607.38714090287</v>
      </c>
      <c r="H15" s="9">
        <f t="shared" si="2"/>
        <v>67202.46238030096</v>
      </c>
      <c r="I15" s="9">
        <f t="shared" si="3"/>
        <v>67202.46238030096</v>
      </c>
      <c r="J15" s="9">
        <f t="shared" si="4"/>
        <v>67202.46238030096</v>
      </c>
      <c r="K15" s="10">
        <v>672024.62380300963</v>
      </c>
    </row>
    <row r="16" spans="1:11" ht="46.5" x14ac:dyDescent="0.35">
      <c r="A16" s="5" t="s">
        <v>66</v>
      </c>
      <c r="B16" s="6" t="s">
        <v>67</v>
      </c>
      <c r="C16" s="14" t="s">
        <v>68</v>
      </c>
      <c r="D16" s="7" t="s">
        <v>69</v>
      </c>
      <c r="E16" s="8" t="s">
        <v>18</v>
      </c>
      <c r="F16" s="9">
        <f t="shared" si="0"/>
        <v>459644.32284541772</v>
      </c>
      <c r="G16" s="9">
        <f t="shared" si="1"/>
        <v>196990.42407660763</v>
      </c>
      <c r="H16" s="9">
        <f t="shared" si="2"/>
        <v>65663.474692202537</v>
      </c>
      <c r="I16" s="9">
        <f t="shared" si="3"/>
        <v>65663.474692202537</v>
      </c>
      <c r="J16" s="9">
        <f t="shared" si="4"/>
        <v>65663.474692202537</v>
      </c>
      <c r="K16" s="10">
        <v>656634.74692202534</v>
      </c>
    </row>
    <row r="17" spans="1:11" ht="46.5" x14ac:dyDescent="0.35">
      <c r="A17" s="5" t="s">
        <v>70</v>
      </c>
      <c r="B17" s="11" t="s">
        <v>71</v>
      </c>
      <c r="C17" s="12" t="s">
        <v>72</v>
      </c>
      <c r="D17" s="13" t="s">
        <v>73</v>
      </c>
      <c r="E17" s="8" t="s">
        <v>18</v>
      </c>
      <c r="F17" s="9">
        <f>K17*70/100</f>
        <v>639192.88645690866</v>
      </c>
      <c r="G17" s="9">
        <f t="shared" si="1"/>
        <v>273939.80848153227</v>
      </c>
      <c r="H17" s="9">
        <f>K17*10/100</f>
        <v>91313.269493844098</v>
      </c>
      <c r="I17" s="9">
        <f>K17*10/100</f>
        <v>91313.269493844098</v>
      </c>
      <c r="J17" s="9">
        <f>K17*10/100</f>
        <v>91313.269493844098</v>
      </c>
      <c r="K17" s="10">
        <v>913132.69493844092</v>
      </c>
    </row>
    <row r="18" spans="1:11" ht="46.5" x14ac:dyDescent="0.35">
      <c r="A18" s="5" t="s">
        <v>74</v>
      </c>
      <c r="B18" s="6" t="s">
        <v>75</v>
      </c>
      <c r="C18" s="7" t="s">
        <v>76</v>
      </c>
      <c r="D18" s="7" t="s">
        <v>77</v>
      </c>
      <c r="E18" s="8" t="s">
        <v>18</v>
      </c>
      <c r="F18" s="9">
        <f t="shared" si="0"/>
        <v>608669.63064295496</v>
      </c>
      <c r="G18" s="9">
        <f t="shared" si="1"/>
        <v>260858.41313269496</v>
      </c>
      <c r="H18" s="9">
        <f t="shared" si="2"/>
        <v>86952.804377564986</v>
      </c>
      <c r="I18" s="9">
        <f t="shared" si="3"/>
        <v>86952.804377564986</v>
      </c>
      <c r="J18" s="9">
        <f t="shared" si="4"/>
        <v>86952.804377564986</v>
      </c>
      <c r="K18" s="10">
        <v>869528.04377564986</v>
      </c>
    </row>
    <row r="19" spans="1:11" ht="46.5" x14ac:dyDescent="0.35">
      <c r="A19" s="5" t="s">
        <v>78</v>
      </c>
      <c r="B19" s="6" t="s">
        <v>79</v>
      </c>
      <c r="C19" s="7" t="s">
        <v>80</v>
      </c>
      <c r="D19" s="7" t="s">
        <v>81</v>
      </c>
      <c r="E19" s="8" t="s">
        <v>13</v>
      </c>
      <c r="F19" s="9">
        <f t="shared" si="0"/>
        <v>470417.23666210676</v>
      </c>
      <c r="G19" s="9">
        <f t="shared" si="1"/>
        <v>201607.38714090287</v>
      </c>
      <c r="H19" s="9">
        <f t="shared" si="2"/>
        <v>67202.46238030096</v>
      </c>
      <c r="I19" s="9">
        <f t="shared" si="3"/>
        <v>67202.46238030096</v>
      </c>
      <c r="J19" s="9">
        <f t="shared" si="4"/>
        <v>67202.46238030096</v>
      </c>
      <c r="K19" s="10">
        <v>672024.62380300963</v>
      </c>
    </row>
    <row r="20" spans="1:11" ht="31" x14ac:dyDescent="0.35">
      <c r="A20" s="5" t="s">
        <v>82</v>
      </c>
      <c r="B20" s="6" t="s">
        <v>83</v>
      </c>
      <c r="C20" s="7" t="s">
        <v>84</v>
      </c>
      <c r="D20" s="7" t="s">
        <v>85</v>
      </c>
      <c r="E20" s="8" t="s">
        <v>18</v>
      </c>
      <c r="F20" s="9">
        <f t="shared" si="0"/>
        <v>483584.1313269494</v>
      </c>
      <c r="G20" s="9">
        <f t="shared" si="1"/>
        <v>207250.34199726401</v>
      </c>
      <c r="H20" s="9">
        <f t="shared" si="2"/>
        <v>69083.447332421332</v>
      </c>
      <c r="I20" s="9">
        <f t="shared" si="3"/>
        <v>69083.447332421332</v>
      </c>
      <c r="J20" s="9">
        <f t="shared" si="4"/>
        <v>69083.447332421332</v>
      </c>
      <c r="K20" s="10">
        <v>690834.47332421341</v>
      </c>
    </row>
    <row r="21" spans="1:11" ht="46.5" x14ac:dyDescent="0.35">
      <c r="A21" s="5" t="s">
        <v>86</v>
      </c>
      <c r="B21" s="6" t="s">
        <v>87</v>
      </c>
      <c r="C21" s="7" t="s">
        <v>88</v>
      </c>
      <c r="D21" s="7" t="s">
        <v>89</v>
      </c>
      <c r="E21" s="8" t="s">
        <v>18</v>
      </c>
      <c r="F21" s="9">
        <f t="shared" si="0"/>
        <v>129369.15887850468</v>
      </c>
      <c r="G21" s="9">
        <f t="shared" si="1"/>
        <v>55443.925233644855</v>
      </c>
      <c r="H21" s="9">
        <f t="shared" si="2"/>
        <v>18481.308411214952</v>
      </c>
      <c r="I21" s="9">
        <f t="shared" si="3"/>
        <v>18481.308411214952</v>
      </c>
      <c r="J21" s="9">
        <f t="shared" si="4"/>
        <v>18481.308411214952</v>
      </c>
      <c r="K21" s="10">
        <v>184813.08411214952</v>
      </c>
    </row>
    <row r="22" spans="1:11" ht="46.5" x14ac:dyDescent="0.35">
      <c r="A22" s="5" t="s">
        <v>90</v>
      </c>
      <c r="B22" s="6" t="s">
        <v>91</v>
      </c>
      <c r="C22" s="7" t="s">
        <v>92</v>
      </c>
      <c r="D22" s="7" t="s">
        <v>93</v>
      </c>
      <c r="E22" s="8" t="s">
        <v>18</v>
      </c>
      <c r="F22" s="9">
        <f t="shared" si="0"/>
        <v>588919.28864569031</v>
      </c>
      <c r="G22" s="9">
        <f t="shared" si="1"/>
        <v>252393.98084815298</v>
      </c>
      <c r="H22" s="9">
        <f t="shared" si="2"/>
        <v>84131.326949384325</v>
      </c>
      <c r="I22" s="9">
        <f t="shared" si="3"/>
        <v>84131.326949384325</v>
      </c>
      <c r="J22" s="9">
        <f t="shared" si="4"/>
        <v>84131.326949384325</v>
      </c>
      <c r="K22" s="10">
        <v>841313.26949384331</v>
      </c>
    </row>
    <row r="23" spans="1:11" ht="46.5" x14ac:dyDescent="0.35">
      <c r="A23" s="5" t="s">
        <v>94</v>
      </c>
      <c r="B23" s="6" t="s">
        <v>95</v>
      </c>
      <c r="C23" s="7" t="s">
        <v>96</v>
      </c>
      <c r="D23" s="7" t="s">
        <v>97</v>
      </c>
      <c r="E23" s="8" t="s">
        <v>18</v>
      </c>
      <c r="F23" s="9">
        <f t="shared" si="0"/>
        <v>1453146.3748290027</v>
      </c>
      <c r="G23" s="9">
        <f t="shared" si="1"/>
        <v>622777.01778385835</v>
      </c>
      <c r="H23" s="9">
        <f t="shared" si="2"/>
        <v>207592.33926128611</v>
      </c>
      <c r="I23" s="9">
        <f t="shared" si="3"/>
        <v>207592.33926128611</v>
      </c>
      <c r="J23" s="9">
        <f t="shared" si="4"/>
        <v>207592.33926128611</v>
      </c>
      <c r="K23" s="10">
        <v>2075923.392612861</v>
      </c>
    </row>
    <row r="24" spans="1:11" ht="46.5" x14ac:dyDescent="0.35">
      <c r="A24" s="5" t="s">
        <v>98</v>
      </c>
      <c r="B24" s="6" t="s">
        <v>99</v>
      </c>
      <c r="C24" s="7" t="s">
        <v>100</v>
      </c>
      <c r="D24" s="7" t="s">
        <v>101</v>
      </c>
      <c r="E24" s="8" t="s">
        <v>18</v>
      </c>
      <c r="F24" s="9">
        <f t="shared" si="0"/>
        <v>1333447.332421341</v>
      </c>
      <c r="G24" s="9">
        <f t="shared" si="1"/>
        <v>571477.42818057467</v>
      </c>
      <c r="H24" s="9">
        <f t="shared" si="2"/>
        <v>190492.47606019158</v>
      </c>
      <c r="I24" s="9">
        <f t="shared" si="3"/>
        <v>190492.47606019158</v>
      </c>
      <c r="J24" s="9">
        <f t="shared" si="4"/>
        <v>190492.47606019158</v>
      </c>
      <c r="K24" s="10">
        <v>1904924.7606019157</v>
      </c>
    </row>
    <row r="25" spans="1:11" ht="46.5" x14ac:dyDescent="0.35">
      <c r="A25" s="5" t="s">
        <v>102</v>
      </c>
      <c r="B25" s="6" t="s">
        <v>103</v>
      </c>
      <c r="C25" s="7" t="s">
        <v>104</v>
      </c>
      <c r="D25" s="7" t="s">
        <v>105</v>
      </c>
      <c r="E25" s="8" t="s">
        <v>18</v>
      </c>
      <c r="F25" s="9">
        <f t="shared" si="0"/>
        <v>639192.88645690866</v>
      </c>
      <c r="G25" s="9">
        <f t="shared" si="1"/>
        <v>273939.80848153227</v>
      </c>
      <c r="H25" s="9">
        <f t="shared" si="2"/>
        <v>91313.269493844098</v>
      </c>
      <c r="I25" s="9">
        <f t="shared" si="3"/>
        <v>91313.269493844098</v>
      </c>
      <c r="J25" s="9">
        <f t="shared" si="4"/>
        <v>91313.269493844098</v>
      </c>
      <c r="K25" s="10">
        <v>913132.69493844092</v>
      </c>
    </row>
    <row r="26" spans="1:11" ht="46.5" x14ac:dyDescent="0.35">
      <c r="A26" s="5" t="s">
        <v>106</v>
      </c>
      <c r="B26" s="11" t="s">
        <v>107</v>
      </c>
      <c r="C26" s="12" t="s">
        <v>108</v>
      </c>
      <c r="D26" s="13" t="s">
        <v>109</v>
      </c>
      <c r="E26" s="8" t="s">
        <v>18</v>
      </c>
      <c r="F26" s="9">
        <f t="shared" si="0"/>
        <v>639192.88645690866</v>
      </c>
      <c r="G26" s="9">
        <f t="shared" si="1"/>
        <v>273939.80848153227</v>
      </c>
      <c r="H26" s="9">
        <f t="shared" si="2"/>
        <v>91313.269493844098</v>
      </c>
      <c r="I26" s="9">
        <f t="shared" si="3"/>
        <v>91313.269493844098</v>
      </c>
      <c r="J26" s="9">
        <f t="shared" si="4"/>
        <v>91313.269493844098</v>
      </c>
      <c r="K26" s="10">
        <v>913132.69493844092</v>
      </c>
    </row>
    <row r="27" spans="1:11" ht="46.5" x14ac:dyDescent="0.35">
      <c r="A27" s="5" t="s">
        <v>110</v>
      </c>
      <c r="B27" s="6" t="s">
        <v>111</v>
      </c>
      <c r="C27" s="7" t="s">
        <v>112</v>
      </c>
      <c r="D27" s="7" t="s">
        <v>113</v>
      </c>
      <c r="E27" s="8" t="s">
        <v>13</v>
      </c>
      <c r="F27" s="9">
        <f t="shared" si="0"/>
        <v>172366.62106703152</v>
      </c>
      <c r="G27" s="9">
        <f t="shared" si="1"/>
        <v>73871.40902872778</v>
      </c>
      <c r="H27" s="9">
        <f t="shared" si="2"/>
        <v>24623.803009575928</v>
      </c>
      <c r="I27" s="9">
        <f t="shared" si="3"/>
        <v>24623.803009575928</v>
      </c>
      <c r="J27" s="9">
        <f t="shared" si="4"/>
        <v>24623.803009575928</v>
      </c>
      <c r="K27" s="10">
        <v>246238.03009575928</v>
      </c>
    </row>
    <row r="28" spans="1:11" ht="46.5" x14ac:dyDescent="0.35">
      <c r="A28" s="5" t="s">
        <v>114</v>
      </c>
      <c r="B28" s="6" t="s">
        <v>115</v>
      </c>
      <c r="C28" s="7" t="s">
        <v>116</v>
      </c>
      <c r="D28" s="7" t="s">
        <v>117</v>
      </c>
      <c r="E28" s="8" t="s">
        <v>18</v>
      </c>
      <c r="F28" s="9">
        <f t="shared" si="0"/>
        <v>639192.88645690866</v>
      </c>
      <c r="G28" s="9">
        <f t="shared" si="1"/>
        <v>273939.80848153227</v>
      </c>
      <c r="H28" s="9">
        <f t="shared" si="2"/>
        <v>91313.269493844098</v>
      </c>
      <c r="I28" s="9">
        <f t="shared" si="3"/>
        <v>91313.269493844098</v>
      </c>
      <c r="J28" s="9">
        <f t="shared" si="4"/>
        <v>91313.269493844098</v>
      </c>
      <c r="K28" s="10">
        <v>913132.69493844092</v>
      </c>
    </row>
    <row r="29" spans="1:11" ht="46.5" x14ac:dyDescent="0.35">
      <c r="A29" s="5" t="s">
        <v>118</v>
      </c>
      <c r="B29" s="6" t="s">
        <v>119</v>
      </c>
      <c r="C29" s="14" t="s">
        <v>120</v>
      </c>
      <c r="D29" s="7" t="s">
        <v>121</v>
      </c>
      <c r="E29" s="8" t="s">
        <v>18</v>
      </c>
      <c r="F29" s="9">
        <f t="shared" si="0"/>
        <v>459644.32284541702</v>
      </c>
      <c r="G29" s="9">
        <f t="shared" si="1"/>
        <v>196990.42407660731</v>
      </c>
      <c r="H29" s="9">
        <f t="shared" si="2"/>
        <v>65663.474692202435</v>
      </c>
      <c r="I29" s="9">
        <f t="shared" si="3"/>
        <v>65663.474692202435</v>
      </c>
      <c r="J29" s="9">
        <f t="shared" si="4"/>
        <v>65663.474692202435</v>
      </c>
      <c r="K29" s="10">
        <v>656634.74692202429</v>
      </c>
    </row>
    <row r="30" spans="1:11" ht="46.5" x14ac:dyDescent="0.35">
      <c r="A30" s="14" t="s">
        <v>122</v>
      </c>
      <c r="B30" s="6" t="s">
        <v>123</v>
      </c>
      <c r="C30" s="14" t="s">
        <v>124</v>
      </c>
      <c r="D30" s="15" t="s">
        <v>125</v>
      </c>
      <c r="E30" s="14" t="s">
        <v>18</v>
      </c>
      <c r="F30" s="9">
        <f t="shared" si="0"/>
        <v>121641.3551401869</v>
      </c>
      <c r="G30" s="9">
        <f t="shared" si="1"/>
        <v>52132.009345794388</v>
      </c>
      <c r="H30" s="9">
        <f t="shared" si="2"/>
        <v>17377.336448598129</v>
      </c>
      <c r="I30" s="9">
        <f t="shared" si="3"/>
        <v>17377.336448598129</v>
      </c>
      <c r="J30" s="9">
        <f t="shared" si="4"/>
        <v>17377.336448598129</v>
      </c>
      <c r="K30" s="10">
        <v>173773.36448598129</v>
      </c>
    </row>
    <row r="31" spans="1:11" ht="46.5" x14ac:dyDescent="0.35">
      <c r="A31" s="5" t="s">
        <v>126</v>
      </c>
      <c r="B31" s="6" t="s">
        <v>127</v>
      </c>
      <c r="C31" s="7" t="s">
        <v>128</v>
      </c>
      <c r="D31" s="7" t="s">
        <v>129</v>
      </c>
      <c r="E31" s="8" t="s">
        <v>18</v>
      </c>
      <c r="F31" s="9">
        <f t="shared" si="0"/>
        <v>470417.23666210676</v>
      </c>
      <c r="G31" s="9">
        <f t="shared" si="1"/>
        <v>201607.38714090287</v>
      </c>
      <c r="H31" s="9">
        <f t="shared" si="2"/>
        <v>67202.46238030096</v>
      </c>
      <c r="I31" s="9">
        <f t="shared" si="3"/>
        <v>67202.46238030096</v>
      </c>
      <c r="J31" s="9">
        <f t="shared" si="4"/>
        <v>67202.46238030096</v>
      </c>
      <c r="K31" s="10">
        <v>672024.62380300963</v>
      </c>
    </row>
    <row r="32" spans="1:11" ht="46.5" x14ac:dyDescent="0.35">
      <c r="A32" s="5" t="s">
        <v>130</v>
      </c>
      <c r="B32" s="6" t="s">
        <v>131</v>
      </c>
      <c r="C32" s="7" t="s">
        <v>113</v>
      </c>
      <c r="D32" s="7" t="s">
        <v>132</v>
      </c>
      <c r="E32" s="8" t="s">
        <v>13</v>
      </c>
      <c r="F32" s="9">
        <f t="shared" si="0"/>
        <v>129369.15887850468</v>
      </c>
      <c r="G32" s="9">
        <f t="shared" si="1"/>
        <v>55443.925233644855</v>
      </c>
      <c r="H32" s="9">
        <f t="shared" si="2"/>
        <v>18481.308411214952</v>
      </c>
      <c r="I32" s="9">
        <f t="shared" si="3"/>
        <v>18481.308411214952</v>
      </c>
      <c r="J32" s="9">
        <f t="shared" si="4"/>
        <v>18481.308411214952</v>
      </c>
      <c r="K32" s="10">
        <v>184813.08411214952</v>
      </c>
    </row>
    <row r="33" spans="1:11" ht="46.5" x14ac:dyDescent="0.35">
      <c r="A33" s="5" t="s">
        <v>133</v>
      </c>
      <c r="B33" s="11" t="s">
        <v>134</v>
      </c>
      <c r="C33" s="14" t="s">
        <v>135</v>
      </c>
      <c r="D33" s="13" t="s">
        <v>136</v>
      </c>
      <c r="E33" s="8" t="s">
        <v>18</v>
      </c>
      <c r="F33" s="9">
        <f t="shared" si="0"/>
        <v>532959.98632010957</v>
      </c>
      <c r="G33" s="9">
        <f t="shared" si="1"/>
        <v>228411.4227086184</v>
      </c>
      <c r="H33" s="9">
        <f t="shared" si="2"/>
        <v>76137.140902872794</v>
      </c>
      <c r="I33" s="9">
        <f t="shared" si="3"/>
        <v>76137.140902872794</v>
      </c>
      <c r="J33" s="9">
        <f t="shared" si="4"/>
        <v>76137.140902872794</v>
      </c>
      <c r="K33" s="10">
        <v>761371.40902872791</v>
      </c>
    </row>
    <row r="34" spans="1:11" ht="46.5" x14ac:dyDescent="0.35">
      <c r="A34" s="5" t="s">
        <v>137</v>
      </c>
      <c r="B34" s="6" t="s">
        <v>138</v>
      </c>
      <c r="C34" s="6" t="s">
        <v>139</v>
      </c>
      <c r="D34" s="7" t="s">
        <v>140</v>
      </c>
      <c r="E34" s="8" t="s">
        <v>18</v>
      </c>
      <c r="F34" s="9">
        <f t="shared" si="0"/>
        <v>121273.36448598134</v>
      </c>
      <c r="G34" s="9">
        <f t="shared" si="1"/>
        <v>51974.299065420564</v>
      </c>
      <c r="H34" s="9">
        <f t="shared" si="2"/>
        <v>17324.766355140189</v>
      </c>
      <c r="I34" s="9">
        <f t="shared" si="3"/>
        <v>17324.766355140189</v>
      </c>
      <c r="J34" s="9">
        <f t="shared" si="4"/>
        <v>17324.766355140189</v>
      </c>
      <c r="K34" s="10">
        <v>173247.6635514019</v>
      </c>
    </row>
    <row r="35" spans="1:11" ht="31" x14ac:dyDescent="0.35">
      <c r="A35" s="16" t="s">
        <v>141</v>
      </c>
      <c r="B35" s="17" t="s">
        <v>142</v>
      </c>
      <c r="C35" s="17" t="s">
        <v>143</v>
      </c>
      <c r="D35" s="18" t="s">
        <v>144</v>
      </c>
      <c r="E35" s="8" t="s">
        <v>18</v>
      </c>
      <c r="F35" s="9">
        <f t="shared" si="0"/>
        <v>639192.88645690866</v>
      </c>
      <c r="G35" s="9">
        <f t="shared" si="1"/>
        <v>273939.80848153227</v>
      </c>
      <c r="H35" s="9">
        <f t="shared" si="2"/>
        <v>91313.269493844098</v>
      </c>
      <c r="I35" s="9">
        <f t="shared" si="3"/>
        <v>91313.269493844098</v>
      </c>
      <c r="J35" s="9">
        <f t="shared" si="4"/>
        <v>91313.269493844098</v>
      </c>
      <c r="K35" s="10">
        <v>913132.69493844092</v>
      </c>
    </row>
    <row r="36" spans="1:11" ht="46.5" x14ac:dyDescent="0.35">
      <c r="A36" s="5" t="s">
        <v>145</v>
      </c>
      <c r="B36" s="19" t="s">
        <v>146</v>
      </c>
      <c r="C36" s="6" t="s">
        <v>147</v>
      </c>
      <c r="D36" s="7" t="s">
        <v>148</v>
      </c>
      <c r="E36" s="8" t="s">
        <v>18</v>
      </c>
      <c r="F36" s="9">
        <f t="shared" si="0"/>
        <v>121273.36448598134</v>
      </c>
      <c r="G36" s="9">
        <f t="shared" si="1"/>
        <v>51974.299065420564</v>
      </c>
      <c r="H36" s="9">
        <f t="shared" si="2"/>
        <v>17324.766355140189</v>
      </c>
      <c r="I36" s="9">
        <f t="shared" si="3"/>
        <v>17324.766355140189</v>
      </c>
      <c r="J36" s="9">
        <f t="shared" si="4"/>
        <v>17324.766355140189</v>
      </c>
      <c r="K36" s="10">
        <v>173247.6635514019</v>
      </c>
    </row>
    <row r="37" spans="1:11" ht="46.5" x14ac:dyDescent="0.35">
      <c r="A37" s="5" t="s">
        <v>149</v>
      </c>
      <c r="B37" s="19" t="s">
        <v>150</v>
      </c>
      <c r="C37" s="6" t="s">
        <v>151</v>
      </c>
      <c r="D37" s="7" t="s">
        <v>152</v>
      </c>
      <c r="E37" s="8" t="s">
        <v>18</v>
      </c>
      <c r="F37" s="9">
        <f t="shared" si="0"/>
        <v>549418.60465116275</v>
      </c>
      <c r="G37" s="9">
        <f t="shared" si="1"/>
        <v>235465.11627906974</v>
      </c>
      <c r="H37" s="9">
        <f t="shared" si="2"/>
        <v>78488.372093023252</v>
      </c>
      <c r="I37" s="9">
        <f t="shared" si="3"/>
        <v>78488.372093023252</v>
      </c>
      <c r="J37" s="9">
        <f t="shared" si="4"/>
        <v>78488.372093023252</v>
      </c>
      <c r="K37" s="10">
        <v>784883.72093023255</v>
      </c>
    </row>
    <row r="38" spans="1:11" ht="46.5" x14ac:dyDescent="0.35">
      <c r="A38" s="5" t="s">
        <v>153</v>
      </c>
      <c r="B38" s="6" t="s">
        <v>154</v>
      </c>
      <c r="C38" s="7" t="s">
        <v>155</v>
      </c>
      <c r="D38" s="7" t="s">
        <v>156</v>
      </c>
      <c r="E38" s="8" t="s">
        <v>18</v>
      </c>
      <c r="F38" s="9">
        <f t="shared" si="0"/>
        <v>172366.62106703132</v>
      </c>
      <c r="G38" s="9">
        <f t="shared" si="1"/>
        <v>73871.409028727707</v>
      </c>
      <c r="H38" s="9">
        <f t="shared" si="2"/>
        <v>24623.803009575902</v>
      </c>
      <c r="I38" s="9">
        <f t="shared" si="3"/>
        <v>24623.803009575902</v>
      </c>
      <c r="J38" s="9">
        <f t="shared" si="4"/>
        <v>24623.803009575902</v>
      </c>
      <c r="K38" s="10">
        <v>246238.03009575902</v>
      </c>
    </row>
    <row r="39" spans="1:11" ht="46.5" x14ac:dyDescent="0.35">
      <c r="A39" s="5" t="s">
        <v>157</v>
      </c>
      <c r="B39" s="6" t="s">
        <v>158</v>
      </c>
      <c r="C39" s="7" t="s">
        <v>159</v>
      </c>
      <c r="D39" s="7" t="s">
        <v>160</v>
      </c>
      <c r="E39" s="8" t="s">
        <v>13</v>
      </c>
      <c r="F39" s="9">
        <f t="shared" si="0"/>
        <v>555403.55677154718</v>
      </c>
      <c r="G39" s="9">
        <f t="shared" si="1"/>
        <v>238030.09575923451</v>
      </c>
      <c r="H39" s="9">
        <f t="shared" si="2"/>
        <v>79343.365253078169</v>
      </c>
      <c r="I39" s="9">
        <f t="shared" si="3"/>
        <v>79343.365253078169</v>
      </c>
      <c r="J39" s="9">
        <f t="shared" si="4"/>
        <v>79343.365253078169</v>
      </c>
      <c r="K39" s="10">
        <v>793433.65253078169</v>
      </c>
    </row>
    <row r="40" spans="1:11" ht="46.5" x14ac:dyDescent="0.35">
      <c r="A40" s="5" t="s">
        <v>161</v>
      </c>
      <c r="B40" s="6" t="s">
        <v>162</v>
      </c>
      <c r="C40" s="7" t="s">
        <v>163</v>
      </c>
      <c r="D40" s="7" t="s">
        <v>164</v>
      </c>
      <c r="E40" s="8" t="s">
        <v>13</v>
      </c>
      <c r="F40" s="9">
        <f t="shared" si="0"/>
        <v>470417.23666210676</v>
      </c>
      <c r="G40" s="9">
        <f t="shared" si="1"/>
        <v>201607.38714090287</v>
      </c>
      <c r="H40" s="9">
        <f t="shared" si="2"/>
        <v>67202.46238030096</v>
      </c>
      <c r="I40" s="9">
        <f t="shared" si="3"/>
        <v>67202.46238030096</v>
      </c>
      <c r="J40" s="9">
        <f t="shared" si="4"/>
        <v>67202.46238030096</v>
      </c>
      <c r="K40" s="10">
        <v>672024.62380300963</v>
      </c>
    </row>
    <row r="41" spans="1:11" ht="46.5" x14ac:dyDescent="0.35">
      <c r="A41" s="5" t="s">
        <v>165</v>
      </c>
      <c r="B41" s="6" t="s">
        <v>166</v>
      </c>
      <c r="C41" s="7" t="s">
        <v>167</v>
      </c>
      <c r="D41" s="7" t="s">
        <v>109</v>
      </c>
      <c r="E41" s="8" t="s">
        <v>18</v>
      </c>
      <c r="F41" s="9">
        <f t="shared" si="0"/>
        <v>203392.61285909687</v>
      </c>
      <c r="G41" s="9">
        <f t="shared" si="1"/>
        <v>87168.262653898651</v>
      </c>
      <c r="H41" s="9">
        <f t="shared" si="2"/>
        <v>29056.087551299552</v>
      </c>
      <c r="I41" s="9">
        <f t="shared" si="3"/>
        <v>29056.087551299552</v>
      </c>
      <c r="J41" s="9">
        <f t="shared" si="4"/>
        <v>29056.087551299552</v>
      </c>
      <c r="K41" s="10">
        <v>290560.87551299552</v>
      </c>
    </row>
    <row r="42" spans="1:11" ht="46.5" x14ac:dyDescent="0.35">
      <c r="A42" s="5" t="s">
        <v>168</v>
      </c>
      <c r="B42" s="20" t="s">
        <v>169</v>
      </c>
      <c r="C42" s="7" t="s">
        <v>170</v>
      </c>
      <c r="D42" s="7" t="s">
        <v>171</v>
      </c>
      <c r="E42" s="8" t="s">
        <v>18</v>
      </c>
      <c r="F42" s="9">
        <f t="shared" si="0"/>
        <v>146798.90560875516</v>
      </c>
      <c r="G42" s="9">
        <f t="shared" si="1"/>
        <v>62913.816689466505</v>
      </c>
      <c r="H42" s="9">
        <f t="shared" si="2"/>
        <v>20971.272229822167</v>
      </c>
      <c r="I42" s="9">
        <f t="shared" si="3"/>
        <v>20971.272229822167</v>
      </c>
      <c r="J42" s="9">
        <f t="shared" si="4"/>
        <v>20971.272229822167</v>
      </c>
      <c r="K42" s="10">
        <v>209712.72229822166</v>
      </c>
    </row>
    <row r="43" spans="1:11" ht="46.5" x14ac:dyDescent="0.35">
      <c r="A43" s="5" t="s">
        <v>172</v>
      </c>
      <c r="B43" s="6" t="s">
        <v>173</v>
      </c>
      <c r="C43" s="7" t="s">
        <v>174</v>
      </c>
      <c r="D43" s="7" t="s">
        <v>175</v>
      </c>
      <c r="E43" s="8" t="s">
        <v>18</v>
      </c>
      <c r="F43" s="9">
        <f t="shared" si="0"/>
        <v>459644.32284541719</v>
      </c>
      <c r="G43" s="9">
        <f t="shared" si="1"/>
        <v>196990.42407660733</v>
      </c>
      <c r="H43" s="9">
        <f t="shared" si="2"/>
        <v>65663.47469220245</v>
      </c>
      <c r="I43" s="9">
        <f t="shared" si="3"/>
        <v>65663.47469220245</v>
      </c>
      <c r="J43" s="9">
        <f t="shared" si="4"/>
        <v>65663.47469220245</v>
      </c>
      <c r="K43" s="10">
        <v>656634.74692202453</v>
      </c>
    </row>
    <row r="44" spans="1:11" ht="46.5" x14ac:dyDescent="0.35">
      <c r="A44" s="5" t="s">
        <v>176</v>
      </c>
      <c r="B44" s="6" t="s">
        <v>177</v>
      </c>
      <c r="C44" s="7" t="s">
        <v>178</v>
      </c>
      <c r="D44" s="7" t="s">
        <v>179</v>
      </c>
      <c r="E44" s="8" t="s">
        <v>13</v>
      </c>
      <c r="F44" s="9">
        <f t="shared" si="0"/>
        <v>1333447.332421341</v>
      </c>
      <c r="G44" s="9">
        <f t="shared" si="1"/>
        <v>571477.42818057467</v>
      </c>
      <c r="H44" s="9">
        <f t="shared" si="2"/>
        <v>190492.47606019158</v>
      </c>
      <c r="I44" s="9">
        <f t="shared" si="3"/>
        <v>190492.47606019158</v>
      </c>
      <c r="J44" s="9">
        <f t="shared" si="4"/>
        <v>190492.47606019158</v>
      </c>
      <c r="K44" s="10">
        <v>1904924.7606019157</v>
      </c>
    </row>
    <row r="45" spans="1:11" ht="62" x14ac:dyDescent="0.35">
      <c r="A45" s="5" t="s">
        <v>180</v>
      </c>
      <c r="B45" s="6" t="s">
        <v>181</v>
      </c>
      <c r="C45" s="7" t="s">
        <v>182</v>
      </c>
      <c r="D45" s="7" t="s">
        <v>183</v>
      </c>
      <c r="E45" s="8" t="s">
        <v>18</v>
      </c>
      <c r="F45" s="9">
        <f t="shared" si="0"/>
        <v>532959.98632010934</v>
      </c>
      <c r="G45" s="9">
        <f t="shared" si="1"/>
        <v>228411.42270861828</v>
      </c>
      <c r="H45" s="9">
        <f t="shared" si="2"/>
        <v>76137.140902872765</v>
      </c>
      <c r="I45" s="9">
        <f t="shared" si="3"/>
        <v>76137.140902872765</v>
      </c>
      <c r="J45" s="9">
        <f t="shared" si="4"/>
        <v>76137.140902872765</v>
      </c>
      <c r="K45" s="10">
        <v>761371.40902872768</v>
      </c>
    </row>
    <row r="46" spans="1:11" ht="46.5" x14ac:dyDescent="0.35">
      <c r="A46" s="5" t="s">
        <v>184</v>
      </c>
      <c r="B46" s="6" t="s">
        <v>185</v>
      </c>
      <c r="C46" s="7" t="s">
        <v>186</v>
      </c>
      <c r="D46" s="7" t="s">
        <v>187</v>
      </c>
      <c r="E46" s="8" t="s">
        <v>18</v>
      </c>
      <c r="F46" s="9">
        <f t="shared" si="0"/>
        <v>639192.88645690866</v>
      </c>
      <c r="G46" s="9">
        <f t="shared" si="1"/>
        <v>273939.80848153227</v>
      </c>
      <c r="H46" s="9">
        <f t="shared" si="2"/>
        <v>91313.269493844098</v>
      </c>
      <c r="I46" s="9">
        <f t="shared" si="3"/>
        <v>91313.269493844098</v>
      </c>
      <c r="J46" s="9">
        <f t="shared" si="4"/>
        <v>91313.269493844098</v>
      </c>
      <c r="K46" s="10">
        <v>913132.69493844092</v>
      </c>
    </row>
    <row r="47" spans="1:11" ht="46.5" x14ac:dyDescent="0.35">
      <c r="A47" s="5" t="s">
        <v>188</v>
      </c>
      <c r="B47" s="11" t="s">
        <v>189</v>
      </c>
      <c r="C47" s="12" t="s">
        <v>190</v>
      </c>
      <c r="D47" s="13" t="s">
        <v>191</v>
      </c>
      <c r="E47" s="8" t="s">
        <v>18</v>
      </c>
      <c r="F47" s="9">
        <f t="shared" si="0"/>
        <v>121273.36448598134</v>
      </c>
      <c r="G47" s="9">
        <f t="shared" si="1"/>
        <v>51974.299065420564</v>
      </c>
      <c r="H47" s="9">
        <f t="shared" si="2"/>
        <v>17324.766355140189</v>
      </c>
      <c r="I47" s="9">
        <f t="shared" si="3"/>
        <v>17324.766355140189</v>
      </c>
      <c r="J47" s="9">
        <f t="shared" si="4"/>
        <v>17324.766355140189</v>
      </c>
      <c r="K47" s="10">
        <v>173247.6635514019</v>
      </c>
    </row>
    <row r="48" spans="1:11" ht="46.5" x14ac:dyDescent="0.35">
      <c r="A48" s="5" t="s">
        <v>192</v>
      </c>
      <c r="B48" s="6" t="s">
        <v>193</v>
      </c>
      <c r="C48" s="7" t="s">
        <v>194</v>
      </c>
      <c r="D48" s="7" t="s">
        <v>81</v>
      </c>
      <c r="E48" s="8" t="s">
        <v>13</v>
      </c>
      <c r="F48" s="9">
        <f t="shared" si="0"/>
        <v>516501.36798905581</v>
      </c>
      <c r="G48" s="9">
        <f t="shared" si="1"/>
        <v>221357.72913816676</v>
      </c>
      <c r="H48" s="9">
        <f t="shared" si="2"/>
        <v>73785.909712722249</v>
      </c>
      <c r="I48" s="9">
        <f t="shared" si="3"/>
        <v>73785.909712722249</v>
      </c>
      <c r="J48" s="9">
        <f t="shared" si="4"/>
        <v>73785.909712722249</v>
      </c>
      <c r="K48" s="10">
        <v>737859.09712722257</v>
      </c>
    </row>
    <row r="49" spans="1:11" ht="46.5" x14ac:dyDescent="0.35">
      <c r="A49" s="5" t="s">
        <v>195</v>
      </c>
      <c r="B49" s="6" t="s">
        <v>196</v>
      </c>
      <c r="C49" s="6" t="s">
        <v>194</v>
      </c>
      <c r="D49" s="7" t="s">
        <v>197</v>
      </c>
      <c r="E49" s="8" t="s">
        <v>13</v>
      </c>
      <c r="F49" s="9">
        <f t="shared" si="0"/>
        <v>480591.65526675788</v>
      </c>
      <c r="G49" s="9">
        <f t="shared" si="1"/>
        <v>205967.85225718195</v>
      </c>
      <c r="H49" s="9">
        <f t="shared" si="2"/>
        <v>68655.950752393983</v>
      </c>
      <c r="I49" s="9">
        <f t="shared" si="3"/>
        <v>68655.950752393983</v>
      </c>
      <c r="J49" s="9">
        <f t="shared" si="4"/>
        <v>68655.950752393983</v>
      </c>
      <c r="K49" s="10">
        <v>686559.50752393983</v>
      </c>
    </row>
    <row r="50" spans="1:11" ht="46.5" x14ac:dyDescent="0.35">
      <c r="A50" s="5" t="s">
        <v>198</v>
      </c>
      <c r="B50" s="6" t="s">
        <v>199</v>
      </c>
      <c r="C50" s="7" t="s">
        <v>194</v>
      </c>
      <c r="D50" s="7" t="s">
        <v>200</v>
      </c>
      <c r="E50" s="8" t="s">
        <v>13</v>
      </c>
      <c r="F50" s="9">
        <f t="shared" si="0"/>
        <v>478317.37346101232</v>
      </c>
      <c r="G50" s="9">
        <f t="shared" si="1"/>
        <v>204993.1600547196</v>
      </c>
      <c r="H50" s="9">
        <f t="shared" si="2"/>
        <v>68331.053351573195</v>
      </c>
      <c r="I50" s="9">
        <f t="shared" si="3"/>
        <v>68331.053351573195</v>
      </c>
      <c r="J50" s="9">
        <f t="shared" si="4"/>
        <v>68331.053351573195</v>
      </c>
      <c r="K50" s="10">
        <v>683310.53351573192</v>
      </c>
    </row>
    <row r="51" spans="1:11" ht="46.5" x14ac:dyDescent="0.35">
      <c r="A51" s="5" t="s">
        <v>201</v>
      </c>
      <c r="B51" s="6" t="s">
        <v>202</v>
      </c>
      <c r="C51" s="7" t="s">
        <v>194</v>
      </c>
      <c r="D51" s="7" t="s">
        <v>203</v>
      </c>
      <c r="E51" s="8" t="s">
        <v>13</v>
      </c>
      <c r="F51" s="9">
        <f t="shared" si="0"/>
        <v>129369.15887850468</v>
      </c>
      <c r="G51" s="9">
        <f t="shared" si="1"/>
        <v>55443.925233644855</v>
      </c>
      <c r="H51" s="9">
        <f t="shared" si="2"/>
        <v>18481.308411214952</v>
      </c>
      <c r="I51" s="9">
        <f t="shared" si="3"/>
        <v>18481.308411214952</v>
      </c>
      <c r="J51" s="9">
        <f t="shared" si="4"/>
        <v>18481.308411214952</v>
      </c>
      <c r="K51" s="10">
        <v>184813.08411214952</v>
      </c>
    </row>
    <row r="52" spans="1:11" ht="46.5" x14ac:dyDescent="0.35">
      <c r="A52" s="5" t="s">
        <v>204</v>
      </c>
      <c r="B52" s="6" t="s">
        <v>205</v>
      </c>
      <c r="C52" s="7" t="s">
        <v>194</v>
      </c>
      <c r="D52" s="7" t="s">
        <v>206</v>
      </c>
      <c r="E52" s="8" t="s">
        <v>13</v>
      </c>
      <c r="F52" s="9">
        <f t="shared" si="0"/>
        <v>129369.15887850468</v>
      </c>
      <c r="G52" s="9">
        <f t="shared" si="1"/>
        <v>55443.925233644855</v>
      </c>
      <c r="H52" s="9">
        <f t="shared" si="2"/>
        <v>18481.308411214952</v>
      </c>
      <c r="I52" s="9">
        <f t="shared" si="3"/>
        <v>18481.308411214952</v>
      </c>
      <c r="J52" s="9">
        <f t="shared" si="4"/>
        <v>18481.308411214952</v>
      </c>
      <c r="K52" s="10">
        <v>184813.08411214952</v>
      </c>
    </row>
    <row r="53" spans="1:11" ht="46.5" x14ac:dyDescent="0.35">
      <c r="A53" s="5" t="s">
        <v>207</v>
      </c>
      <c r="B53" s="11" t="s">
        <v>208</v>
      </c>
      <c r="C53" s="12" t="s">
        <v>209</v>
      </c>
      <c r="D53" s="13" t="s">
        <v>210</v>
      </c>
      <c r="E53" s="8" t="s">
        <v>18</v>
      </c>
      <c r="F53" s="9">
        <f t="shared" si="0"/>
        <v>129369.15887850468</v>
      </c>
      <c r="G53" s="9">
        <f t="shared" si="1"/>
        <v>55443.925233644855</v>
      </c>
      <c r="H53" s="9">
        <f t="shared" si="2"/>
        <v>18481.308411214952</v>
      </c>
      <c r="I53" s="9">
        <f t="shared" si="3"/>
        <v>18481.308411214952</v>
      </c>
      <c r="J53" s="9">
        <f t="shared" si="4"/>
        <v>18481.308411214952</v>
      </c>
      <c r="K53" s="10">
        <v>184813.08411214952</v>
      </c>
    </row>
    <row r="54" spans="1:11" ht="46.5" x14ac:dyDescent="0.35">
      <c r="A54" s="5" t="s">
        <v>211</v>
      </c>
      <c r="B54" s="6" t="s">
        <v>212</v>
      </c>
      <c r="C54" s="6" t="s">
        <v>213</v>
      </c>
      <c r="D54" s="7" t="s">
        <v>214</v>
      </c>
      <c r="E54" s="8" t="s">
        <v>18</v>
      </c>
      <c r="F54" s="9">
        <f t="shared" si="0"/>
        <v>473110.46511627903</v>
      </c>
      <c r="G54" s="9">
        <f t="shared" si="1"/>
        <v>202761.62790697676</v>
      </c>
      <c r="H54" s="9">
        <f t="shared" si="2"/>
        <v>67587.209302325587</v>
      </c>
      <c r="I54" s="9">
        <f t="shared" si="3"/>
        <v>67587.209302325587</v>
      </c>
      <c r="J54" s="9">
        <f t="shared" si="4"/>
        <v>67587.209302325587</v>
      </c>
      <c r="K54" s="10">
        <v>675872.09302325582</v>
      </c>
    </row>
    <row r="55" spans="1:11" ht="46.5" x14ac:dyDescent="0.35">
      <c r="A55" s="5" t="s">
        <v>215</v>
      </c>
      <c r="B55" s="6" t="s">
        <v>216</v>
      </c>
      <c r="C55" s="7" t="s">
        <v>217</v>
      </c>
      <c r="D55" s="7" t="s">
        <v>218</v>
      </c>
      <c r="E55" s="8" t="s">
        <v>13</v>
      </c>
      <c r="F55" s="9">
        <f t="shared" si="0"/>
        <v>129369.15887850463</v>
      </c>
      <c r="G55" s="9">
        <f t="shared" si="1"/>
        <v>55443.925233644841</v>
      </c>
      <c r="H55" s="9">
        <f t="shared" si="2"/>
        <v>18481.308411214948</v>
      </c>
      <c r="I55" s="9">
        <f t="shared" si="3"/>
        <v>18481.308411214948</v>
      </c>
      <c r="J55" s="9">
        <f t="shared" si="4"/>
        <v>18481.308411214948</v>
      </c>
      <c r="K55" s="10">
        <v>184813.08411214949</v>
      </c>
    </row>
    <row r="56" spans="1:11" ht="46.5" x14ac:dyDescent="0.35">
      <c r="A56" s="5" t="s">
        <v>219</v>
      </c>
      <c r="B56" s="6" t="s">
        <v>220</v>
      </c>
      <c r="C56" s="6" t="s">
        <v>221</v>
      </c>
      <c r="D56" s="7" t="s">
        <v>222</v>
      </c>
      <c r="E56" s="8" t="s">
        <v>18</v>
      </c>
      <c r="F56" s="9">
        <f t="shared" si="0"/>
        <v>480591.65526675788</v>
      </c>
      <c r="G56" s="9">
        <f t="shared" si="1"/>
        <v>205967.85225718195</v>
      </c>
      <c r="H56" s="9">
        <f t="shared" si="2"/>
        <v>68655.950752393983</v>
      </c>
      <c r="I56" s="9">
        <f t="shared" si="3"/>
        <v>68655.950752393983</v>
      </c>
      <c r="J56" s="9">
        <f t="shared" si="4"/>
        <v>68655.950752393983</v>
      </c>
      <c r="K56" s="10">
        <v>686559.50752393983</v>
      </c>
    </row>
    <row r="57" spans="1:11" ht="31" x14ac:dyDescent="0.35">
      <c r="A57" s="5" t="s">
        <v>223</v>
      </c>
      <c r="B57" s="6" t="s">
        <v>224</v>
      </c>
      <c r="C57" s="7" t="s">
        <v>225</v>
      </c>
      <c r="D57" s="7" t="s">
        <v>226</v>
      </c>
      <c r="E57" s="8" t="s">
        <v>18</v>
      </c>
      <c r="F57" s="9">
        <f t="shared" si="0"/>
        <v>492860.80711354309</v>
      </c>
      <c r="G57" s="9">
        <f t="shared" si="1"/>
        <v>211226.06019151848</v>
      </c>
      <c r="H57" s="9">
        <f t="shared" si="2"/>
        <v>70408.686730506161</v>
      </c>
      <c r="I57" s="9">
        <f t="shared" si="3"/>
        <v>70408.686730506161</v>
      </c>
      <c r="J57" s="9">
        <f t="shared" si="4"/>
        <v>70408.686730506161</v>
      </c>
      <c r="K57" s="10">
        <v>704086.86730506155</v>
      </c>
    </row>
    <row r="58" spans="1:11" ht="46.5" x14ac:dyDescent="0.35">
      <c r="A58" s="5" t="s">
        <v>227</v>
      </c>
      <c r="B58" s="6" t="s">
        <v>228</v>
      </c>
      <c r="C58" s="7" t="s">
        <v>229</v>
      </c>
      <c r="D58" s="7" t="s">
        <v>206</v>
      </c>
      <c r="E58" s="8" t="s">
        <v>13</v>
      </c>
      <c r="F58" s="9">
        <f t="shared" si="0"/>
        <v>411166.21067031455</v>
      </c>
      <c r="G58" s="9">
        <f t="shared" si="1"/>
        <v>176214.09028727765</v>
      </c>
      <c r="H58" s="9">
        <f t="shared" si="2"/>
        <v>58738.030095759219</v>
      </c>
      <c r="I58" s="9">
        <f t="shared" si="3"/>
        <v>58738.030095759219</v>
      </c>
      <c r="J58" s="9">
        <f t="shared" si="4"/>
        <v>58738.030095759219</v>
      </c>
      <c r="K58" s="10">
        <v>587380.3009575922</v>
      </c>
    </row>
    <row r="59" spans="1:11" ht="46.5" x14ac:dyDescent="0.35">
      <c r="A59" s="5" t="s">
        <v>230</v>
      </c>
      <c r="B59" s="6" t="s">
        <v>231</v>
      </c>
      <c r="C59" s="7" t="s">
        <v>232</v>
      </c>
      <c r="D59" s="7" t="s">
        <v>233</v>
      </c>
      <c r="E59" s="8" t="s">
        <v>18</v>
      </c>
      <c r="F59" s="9">
        <f t="shared" si="0"/>
        <v>592869.35704514314</v>
      </c>
      <c r="G59" s="9">
        <f t="shared" si="1"/>
        <v>254086.86730506137</v>
      </c>
      <c r="H59" s="9">
        <f t="shared" si="2"/>
        <v>84695.622435020457</v>
      </c>
      <c r="I59" s="9">
        <f t="shared" si="3"/>
        <v>84695.622435020457</v>
      </c>
      <c r="J59" s="9">
        <f t="shared" si="4"/>
        <v>84695.622435020457</v>
      </c>
      <c r="K59" s="10">
        <v>846956.22435020457</v>
      </c>
    </row>
    <row r="60" spans="1:11" ht="46.5" x14ac:dyDescent="0.35">
      <c r="A60" s="5" t="s">
        <v>234</v>
      </c>
      <c r="B60" s="6" t="s">
        <v>235</v>
      </c>
      <c r="C60" s="7" t="s">
        <v>236</v>
      </c>
      <c r="D60" s="7" t="s">
        <v>237</v>
      </c>
      <c r="E60" s="8" t="s">
        <v>18</v>
      </c>
      <c r="F60" s="9">
        <f t="shared" si="0"/>
        <v>174952.1203830369</v>
      </c>
      <c r="G60" s="9">
        <f t="shared" si="1"/>
        <v>74979.480164158682</v>
      </c>
      <c r="H60" s="9">
        <f t="shared" si="2"/>
        <v>24993.160054719559</v>
      </c>
      <c r="I60" s="9">
        <f t="shared" si="3"/>
        <v>24993.160054719559</v>
      </c>
      <c r="J60" s="9">
        <f t="shared" si="4"/>
        <v>24993.160054719559</v>
      </c>
      <c r="K60" s="10">
        <v>249931.60054719559</v>
      </c>
    </row>
    <row r="61" spans="1:11" ht="46.5" x14ac:dyDescent="0.35">
      <c r="A61" s="5" t="s">
        <v>238</v>
      </c>
      <c r="B61" s="6" t="s">
        <v>239</v>
      </c>
      <c r="C61" s="7" t="s">
        <v>240</v>
      </c>
      <c r="D61" s="7" t="s">
        <v>241</v>
      </c>
      <c r="E61" s="8" t="s">
        <v>13</v>
      </c>
      <c r="F61" s="9">
        <f t="shared" si="0"/>
        <v>630215.45827633375</v>
      </c>
      <c r="G61" s="9">
        <f t="shared" si="1"/>
        <v>270092.3392612859</v>
      </c>
      <c r="H61" s="9">
        <f t="shared" si="2"/>
        <v>90030.779753761963</v>
      </c>
      <c r="I61" s="9">
        <f t="shared" si="3"/>
        <v>90030.779753761963</v>
      </c>
      <c r="J61" s="9">
        <f t="shared" si="4"/>
        <v>90030.779753761963</v>
      </c>
      <c r="K61" s="10">
        <v>900307.79753761971</v>
      </c>
    </row>
    <row r="62" spans="1:11" ht="46.5" x14ac:dyDescent="0.35">
      <c r="A62" s="5" t="s">
        <v>242</v>
      </c>
      <c r="B62" s="6" t="s">
        <v>243</v>
      </c>
      <c r="C62" s="7" t="s">
        <v>244</v>
      </c>
      <c r="D62" s="7" t="s">
        <v>245</v>
      </c>
      <c r="E62" s="8" t="s">
        <v>13</v>
      </c>
      <c r="F62" s="9">
        <f t="shared" si="0"/>
        <v>639192.88645690866</v>
      </c>
      <c r="G62" s="9">
        <f t="shared" si="1"/>
        <v>273939.80848153227</v>
      </c>
      <c r="H62" s="9">
        <f t="shared" si="2"/>
        <v>91313.269493844098</v>
      </c>
      <c r="I62" s="9">
        <f t="shared" si="3"/>
        <v>91313.269493844098</v>
      </c>
      <c r="J62" s="9">
        <f t="shared" si="4"/>
        <v>91313.269493844098</v>
      </c>
      <c r="K62" s="10">
        <v>913132.69493844092</v>
      </c>
    </row>
    <row r="63" spans="1:11" ht="46.5" x14ac:dyDescent="0.35">
      <c r="A63" s="5" t="s">
        <v>246</v>
      </c>
      <c r="B63" s="6" t="s">
        <v>247</v>
      </c>
      <c r="C63" s="7" t="s">
        <v>248</v>
      </c>
      <c r="D63" s="7" t="s">
        <v>249</v>
      </c>
      <c r="E63" s="8" t="s">
        <v>18</v>
      </c>
      <c r="F63" s="9">
        <f t="shared" si="0"/>
        <v>639192.88645690866</v>
      </c>
      <c r="G63" s="9">
        <f t="shared" si="1"/>
        <v>273939.80848153227</v>
      </c>
      <c r="H63" s="9">
        <f t="shared" si="2"/>
        <v>91313.269493844098</v>
      </c>
      <c r="I63" s="9">
        <f t="shared" si="3"/>
        <v>91313.269493844098</v>
      </c>
      <c r="J63" s="9">
        <f t="shared" si="4"/>
        <v>91313.269493844098</v>
      </c>
      <c r="K63" s="10">
        <v>913132.69493844092</v>
      </c>
    </row>
    <row r="64" spans="1:11" ht="46.5" x14ac:dyDescent="0.35">
      <c r="A64" s="5" t="s">
        <v>250</v>
      </c>
      <c r="B64" s="6" t="s">
        <v>251</v>
      </c>
      <c r="C64" s="7" t="s">
        <v>252</v>
      </c>
      <c r="D64" s="7" t="s">
        <v>253</v>
      </c>
      <c r="E64" s="8" t="s">
        <v>18</v>
      </c>
      <c r="F64" s="9">
        <f t="shared" si="0"/>
        <v>121273.36448598134</v>
      </c>
      <c r="G64" s="9">
        <f t="shared" si="1"/>
        <v>51974.299065420564</v>
      </c>
      <c r="H64" s="9">
        <f t="shared" si="2"/>
        <v>17324.766355140189</v>
      </c>
      <c r="I64" s="9">
        <f t="shared" si="3"/>
        <v>17324.766355140189</v>
      </c>
      <c r="J64" s="9">
        <f t="shared" si="4"/>
        <v>17324.766355140189</v>
      </c>
      <c r="K64" s="10">
        <v>173247.6635514019</v>
      </c>
    </row>
    <row r="65" spans="1:11" ht="46.5" x14ac:dyDescent="0.35">
      <c r="A65" s="5" t="s">
        <v>254</v>
      </c>
      <c r="B65" s="6" t="s">
        <v>255</v>
      </c>
      <c r="C65" s="7" t="s">
        <v>256</v>
      </c>
      <c r="D65" s="7" t="s">
        <v>257</v>
      </c>
      <c r="E65" s="8" t="s">
        <v>18</v>
      </c>
      <c r="F65" s="9">
        <f t="shared" si="0"/>
        <v>146511.6279069767</v>
      </c>
      <c r="G65" s="9">
        <f t="shared" si="1"/>
        <v>62790.697674418596</v>
      </c>
      <c r="H65" s="9">
        <f t="shared" si="2"/>
        <v>20930.232558139531</v>
      </c>
      <c r="I65" s="9">
        <f t="shared" si="3"/>
        <v>20930.232558139531</v>
      </c>
      <c r="J65" s="9">
        <f t="shared" si="4"/>
        <v>20930.232558139531</v>
      </c>
      <c r="K65" s="10">
        <v>209302.3255813953</v>
      </c>
    </row>
    <row r="66" spans="1:11" ht="46.5" x14ac:dyDescent="0.35">
      <c r="A66" s="5" t="s">
        <v>258</v>
      </c>
      <c r="B66" s="6" t="s">
        <v>259</v>
      </c>
      <c r="C66" s="7" t="s">
        <v>260</v>
      </c>
      <c r="D66" s="7" t="s">
        <v>261</v>
      </c>
      <c r="E66" s="8" t="s">
        <v>18</v>
      </c>
      <c r="F66" s="9">
        <f t="shared" ref="F66:F129" si="5">K66*70/100</f>
        <v>586968.19425444608</v>
      </c>
      <c r="G66" s="9">
        <f t="shared" ref="G66:G129" si="6">H66+I66+J66</f>
        <v>251557.79753761977</v>
      </c>
      <c r="H66" s="9">
        <f t="shared" ref="H66:H129" si="7">K66*10/100</f>
        <v>83852.599179206591</v>
      </c>
      <c r="I66" s="9">
        <f t="shared" ref="I66:I129" si="8">K66*10/100</f>
        <v>83852.599179206591</v>
      </c>
      <c r="J66" s="9">
        <f t="shared" ref="J66:J129" si="9">K66*10/100</f>
        <v>83852.599179206591</v>
      </c>
      <c r="K66" s="10">
        <v>838525.99179206579</v>
      </c>
    </row>
    <row r="67" spans="1:11" ht="46.5" x14ac:dyDescent="0.35">
      <c r="A67" s="5" t="s">
        <v>262</v>
      </c>
      <c r="B67" s="6" t="s">
        <v>263</v>
      </c>
      <c r="C67" s="7" t="s">
        <v>264</v>
      </c>
      <c r="D67" s="7" t="s">
        <v>265</v>
      </c>
      <c r="E67" s="8" t="s">
        <v>18</v>
      </c>
      <c r="F67" s="9">
        <f t="shared" si="5"/>
        <v>1818773.084815322</v>
      </c>
      <c r="G67" s="9">
        <f t="shared" si="6"/>
        <v>779474.17920656642</v>
      </c>
      <c r="H67" s="9">
        <f t="shared" si="7"/>
        <v>259824.72640218883</v>
      </c>
      <c r="I67" s="9">
        <f t="shared" si="8"/>
        <v>259824.72640218883</v>
      </c>
      <c r="J67" s="9">
        <f t="shared" si="9"/>
        <v>259824.72640218883</v>
      </c>
      <c r="K67" s="10">
        <v>2598247.2640218884</v>
      </c>
    </row>
    <row r="68" spans="1:11" ht="46.5" x14ac:dyDescent="0.35">
      <c r="A68" s="5" t="s">
        <v>266</v>
      </c>
      <c r="B68" s="11" t="s">
        <v>267</v>
      </c>
      <c r="C68" s="12" t="s">
        <v>268</v>
      </c>
      <c r="D68" s="13" t="s">
        <v>269</v>
      </c>
      <c r="E68" s="8" t="s">
        <v>18</v>
      </c>
      <c r="F68" s="9">
        <f t="shared" si="5"/>
        <v>639192.88645690866</v>
      </c>
      <c r="G68" s="9">
        <f t="shared" si="6"/>
        <v>273939.80848153227</v>
      </c>
      <c r="H68" s="9">
        <f t="shared" si="7"/>
        <v>91313.269493844098</v>
      </c>
      <c r="I68" s="9">
        <f t="shared" si="8"/>
        <v>91313.269493844098</v>
      </c>
      <c r="J68" s="9">
        <f t="shared" si="9"/>
        <v>91313.269493844098</v>
      </c>
      <c r="K68" s="10">
        <v>913132.69493844092</v>
      </c>
    </row>
    <row r="69" spans="1:11" ht="31" x14ac:dyDescent="0.35">
      <c r="A69" s="5" t="s">
        <v>270</v>
      </c>
      <c r="B69" s="6" t="s">
        <v>271</v>
      </c>
      <c r="C69" s="7" t="s">
        <v>272</v>
      </c>
      <c r="D69" s="7" t="s">
        <v>273</v>
      </c>
      <c r="E69" s="8" t="s">
        <v>13</v>
      </c>
      <c r="F69" s="9">
        <f t="shared" si="5"/>
        <v>470417.23666210676</v>
      </c>
      <c r="G69" s="9">
        <f t="shared" si="6"/>
        <v>201607.38714090287</v>
      </c>
      <c r="H69" s="9">
        <f t="shared" si="7"/>
        <v>67202.46238030096</v>
      </c>
      <c r="I69" s="9">
        <f t="shared" si="8"/>
        <v>67202.46238030096</v>
      </c>
      <c r="J69" s="9">
        <f t="shared" si="9"/>
        <v>67202.46238030096</v>
      </c>
      <c r="K69" s="10">
        <v>672024.62380300963</v>
      </c>
    </row>
    <row r="70" spans="1:11" ht="46.5" x14ac:dyDescent="0.35">
      <c r="A70" s="5" t="s">
        <v>274</v>
      </c>
      <c r="B70" s="6" t="s">
        <v>275</v>
      </c>
      <c r="C70" s="7" t="s">
        <v>272</v>
      </c>
      <c r="D70" s="7" t="s">
        <v>276</v>
      </c>
      <c r="E70" s="8" t="s">
        <v>13</v>
      </c>
      <c r="F70" s="9">
        <f t="shared" si="5"/>
        <v>470417.23666210676</v>
      </c>
      <c r="G70" s="9">
        <f t="shared" si="6"/>
        <v>201607.38714090287</v>
      </c>
      <c r="H70" s="9">
        <f t="shared" si="7"/>
        <v>67202.46238030096</v>
      </c>
      <c r="I70" s="9">
        <f t="shared" si="8"/>
        <v>67202.46238030096</v>
      </c>
      <c r="J70" s="9">
        <f t="shared" si="9"/>
        <v>67202.46238030096</v>
      </c>
      <c r="K70" s="10">
        <v>672024.62380300963</v>
      </c>
    </row>
    <row r="71" spans="1:11" ht="31" x14ac:dyDescent="0.35">
      <c r="A71" s="5" t="s">
        <v>277</v>
      </c>
      <c r="B71" s="6" t="s">
        <v>278</v>
      </c>
      <c r="C71" s="7" t="s">
        <v>279</v>
      </c>
      <c r="D71" s="7" t="s">
        <v>280</v>
      </c>
      <c r="E71" s="8" t="s">
        <v>13</v>
      </c>
      <c r="F71" s="9">
        <f t="shared" si="5"/>
        <v>470417.23666210676</v>
      </c>
      <c r="G71" s="9">
        <f t="shared" si="6"/>
        <v>201607.38714090287</v>
      </c>
      <c r="H71" s="9">
        <f t="shared" si="7"/>
        <v>67202.46238030096</v>
      </c>
      <c r="I71" s="9">
        <f t="shared" si="8"/>
        <v>67202.46238030096</v>
      </c>
      <c r="J71" s="9">
        <f t="shared" si="9"/>
        <v>67202.46238030096</v>
      </c>
      <c r="K71" s="10">
        <v>672024.62380300963</v>
      </c>
    </row>
    <row r="72" spans="1:11" ht="31" x14ac:dyDescent="0.35">
      <c r="A72" s="5" t="s">
        <v>281</v>
      </c>
      <c r="B72" s="11" t="s">
        <v>282</v>
      </c>
      <c r="C72" s="12" t="s">
        <v>283</v>
      </c>
      <c r="D72" s="13" t="s">
        <v>284</v>
      </c>
      <c r="E72" s="8" t="s">
        <v>18</v>
      </c>
      <c r="F72" s="9">
        <f t="shared" si="5"/>
        <v>555403.55677154718</v>
      </c>
      <c r="G72" s="9">
        <f t="shared" si="6"/>
        <v>238030.09575923451</v>
      </c>
      <c r="H72" s="9">
        <f t="shared" si="7"/>
        <v>79343.365253078169</v>
      </c>
      <c r="I72" s="9">
        <f t="shared" si="8"/>
        <v>79343.365253078169</v>
      </c>
      <c r="J72" s="9">
        <f t="shared" si="9"/>
        <v>79343.365253078169</v>
      </c>
      <c r="K72" s="10">
        <v>793433.65253078169</v>
      </c>
    </row>
    <row r="73" spans="1:11" ht="31" x14ac:dyDescent="0.35">
      <c r="A73" s="5" t="s">
        <v>285</v>
      </c>
      <c r="B73" s="6" t="s">
        <v>286</v>
      </c>
      <c r="C73" s="7" t="s">
        <v>287</v>
      </c>
      <c r="D73" s="7" t="s">
        <v>288</v>
      </c>
      <c r="E73" s="8" t="s">
        <v>18</v>
      </c>
      <c r="F73" s="9">
        <f t="shared" si="5"/>
        <v>320314.63748289971</v>
      </c>
      <c r="G73" s="9">
        <f t="shared" si="6"/>
        <v>137277.70177838558</v>
      </c>
      <c r="H73" s="9">
        <f t="shared" si="7"/>
        <v>45759.233926128531</v>
      </c>
      <c r="I73" s="9">
        <f t="shared" si="8"/>
        <v>45759.233926128531</v>
      </c>
      <c r="J73" s="9">
        <f t="shared" si="9"/>
        <v>45759.233926128531</v>
      </c>
      <c r="K73" s="10">
        <v>457592.33926128532</v>
      </c>
    </row>
    <row r="74" spans="1:11" ht="31" x14ac:dyDescent="0.35">
      <c r="A74" s="5" t="s">
        <v>289</v>
      </c>
      <c r="B74" s="6" t="s">
        <v>290</v>
      </c>
      <c r="C74" s="7" t="s">
        <v>291</v>
      </c>
      <c r="D74" s="7" t="s">
        <v>292</v>
      </c>
      <c r="E74" s="8" t="s">
        <v>18</v>
      </c>
      <c r="F74" s="9">
        <f t="shared" si="5"/>
        <v>639192.88645690866</v>
      </c>
      <c r="G74" s="9">
        <f t="shared" si="6"/>
        <v>273939.80848153227</v>
      </c>
      <c r="H74" s="9">
        <f t="shared" si="7"/>
        <v>91313.269493844098</v>
      </c>
      <c r="I74" s="9">
        <f t="shared" si="8"/>
        <v>91313.269493844098</v>
      </c>
      <c r="J74" s="9">
        <f t="shared" si="9"/>
        <v>91313.269493844098</v>
      </c>
      <c r="K74" s="10">
        <v>913132.69493844092</v>
      </c>
    </row>
    <row r="75" spans="1:11" ht="46.5" x14ac:dyDescent="0.35">
      <c r="A75" s="5" t="s">
        <v>293</v>
      </c>
      <c r="B75" s="6" t="s">
        <v>294</v>
      </c>
      <c r="C75" s="7" t="s">
        <v>295</v>
      </c>
      <c r="D75" s="7" t="s">
        <v>296</v>
      </c>
      <c r="E75" s="8" t="s">
        <v>18</v>
      </c>
      <c r="F75" s="9">
        <f t="shared" si="5"/>
        <v>639192.88645690866</v>
      </c>
      <c r="G75" s="9">
        <f t="shared" si="6"/>
        <v>273939.80848153227</v>
      </c>
      <c r="H75" s="9">
        <f t="shared" si="7"/>
        <v>91313.269493844098</v>
      </c>
      <c r="I75" s="9">
        <f t="shared" si="8"/>
        <v>91313.269493844098</v>
      </c>
      <c r="J75" s="9">
        <f t="shared" si="9"/>
        <v>91313.269493844098</v>
      </c>
      <c r="K75" s="10">
        <v>913132.69493844092</v>
      </c>
    </row>
    <row r="76" spans="1:11" ht="46.5" x14ac:dyDescent="0.35">
      <c r="A76" s="5" t="s">
        <v>297</v>
      </c>
      <c r="B76" s="6" t="s">
        <v>298</v>
      </c>
      <c r="C76" s="7" t="s">
        <v>295</v>
      </c>
      <c r="D76" s="7" t="s">
        <v>299</v>
      </c>
      <c r="E76" s="8" t="s">
        <v>18</v>
      </c>
      <c r="F76" s="9">
        <f t="shared" si="5"/>
        <v>555403.55677154544</v>
      </c>
      <c r="G76" s="9">
        <f t="shared" si="6"/>
        <v>238030.09575923375</v>
      </c>
      <c r="H76" s="9">
        <f t="shared" si="7"/>
        <v>79343.365253077922</v>
      </c>
      <c r="I76" s="9">
        <f t="shared" si="8"/>
        <v>79343.365253077922</v>
      </c>
      <c r="J76" s="9">
        <f t="shared" si="9"/>
        <v>79343.365253077922</v>
      </c>
      <c r="K76" s="10">
        <v>793433.65253077925</v>
      </c>
    </row>
    <row r="77" spans="1:11" ht="62" x14ac:dyDescent="0.35">
      <c r="A77" s="5" t="s">
        <v>300</v>
      </c>
      <c r="B77" s="6" t="s">
        <v>301</v>
      </c>
      <c r="C77" s="14" t="s">
        <v>302</v>
      </c>
      <c r="D77" s="7" t="s">
        <v>303</v>
      </c>
      <c r="E77" s="8" t="s">
        <v>13</v>
      </c>
      <c r="F77" s="9">
        <f t="shared" si="5"/>
        <v>459644.32284541731</v>
      </c>
      <c r="G77" s="9">
        <f t="shared" si="6"/>
        <v>196990.42407660739</v>
      </c>
      <c r="H77" s="9">
        <f t="shared" si="7"/>
        <v>65663.474692202464</v>
      </c>
      <c r="I77" s="9">
        <f t="shared" si="8"/>
        <v>65663.474692202464</v>
      </c>
      <c r="J77" s="9">
        <f t="shared" si="9"/>
        <v>65663.474692202464</v>
      </c>
      <c r="K77" s="10">
        <v>656634.74692202476</v>
      </c>
    </row>
    <row r="78" spans="1:11" ht="31" x14ac:dyDescent="0.35">
      <c r="A78" s="5" t="s">
        <v>304</v>
      </c>
      <c r="B78" s="6" t="s">
        <v>305</v>
      </c>
      <c r="C78" s="7" t="s">
        <v>306</v>
      </c>
      <c r="D78" s="7" t="s">
        <v>307</v>
      </c>
      <c r="E78" s="8" t="s">
        <v>18</v>
      </c>
      <c r="F78" s="9">
        <f t="shared" si="5"/>
        <v>529668.2626538988</v>
      </c>
      <c r="G78" s="9">
        <f t="shared" si="6"/>
        <v>227000.68399452808</v>
      </c>
      <c r="H78" s="9">
        <f t="shared" si="7"/>
        <v>75666.894664842694</v>
      </c>
      <c r="I78" s="9">
        <f t="shared" si="8"/>
        <v>75666.894664842694</v>
      </c>
      <c r="J78" s="9">
        <f t="shared" si="9"/>
        <v>75666.894664842694</v>
      </c>
      <c r="K78" s="10">
        <v>756668.94664842694</v>
      </c>
    </row>
    <row r="79" spans="1:11" ht="46.5" x14ac:dyDescent="0.35">
      <c r="A79" s="5" t="s">
        <v>308</v>
      </c>
      <c r="B79" s="6" t="s">
        <v>309</v>
      </c>
      <c r="C79" s="7" t="s">
        <v>310</v>
      </c>
      <c r="D79" s="7" t="s">
        <v>311</v>
      </c>
      <c r="E79" s="8" t="s">
        <v>13</v>
      </c>
      <c r="F79" s="9">
        <f t="shared" si="5"/>
        <v>480591.65526675788</v>
      </c>
      <c r="G79" s="9">
        <f t="shared" si="6"/>
        <v>205967.85225718195</v>
      </c>
      <c r="H79" s="9">
        <f t="shared" si="7"/>
        <v>68655.950752393983</v>
      </c>
      <c r="I79" s="9">
        <f t="shared" si="8"/>
        <v>68655.950752393983</v>
      </c>
      <c r="J79" s="9">
        <f t="shared" si="9"/>
        <v>68655.950752393983</v>
      </c>
      <c r="K79" s="10">
        <v>686559.50752393983</v>
      </c>
    </row>
    <row r="80" spans="1:11" ht="46.5" x14ac:dyDescent="0.35">
      <c r="A80" s="5" t="s">
        <v>312</v>
      </c>
      <c r="B80" s="20" t="s">
        <v>313</v>
      </c>
      <c r="C80" s="7" t="s">
        <v>314</v>
      </c>
      <c r="D80" s="7" t="s">
        <v>315</v>
      </c>
      <c r="E80" s="8" t="s">
        <v>18</v>
      </c>
      <c r="F80" s="9">
        <f t="shared" si="5"/>
        <v>129369.15887850497</v>
      </c>
      <c r="G80" s="9">
        <f t="shared" si="6"/>
        <v>55443.925233644986</v>
      </c>
      <c r="H80" s="9">
        <f t="shared" si="7"/>
        <v>18481.308411214995</v>
      </c>
      <c r="I80" s="9">
        <f t="shared" si="8"/>
        <v>18481.308411214995</v>
      </c>
      <c r="J80" s="9">
        <f t="shared" si="9"/>
        <v>18481.308411214995</v>
      </c>
      <c r="K80" s="10">
        <v>184813.08411214995</v>
      </c>
    </row>
    <row r="81" spans="1:11" ht="46.5" x14ac:dyDescent="0.35">
      <c r="A81" s="5" t="s">
        <v>316</v>
      </c>
      <c r="B81" s="6" t="s">
        <v>317</v>
      </c>
      <c r="C81" s="7" t="s">
        <v>318</v>
      </c>
      <c r="D81" s="7" t="s">
        <v>319</v>
      </c>
      <c r="E81" s="8" t="s">
        <v>13</v>
      </c>
      <c r="F81" s="9">
        <f t="shared" si="5"/>
        <v>470417.23666210676</v>
      </c>
      <c r="G81" s="9">
        <f t="shared" si="6"/>
        <v>201607.38714090287</v>
      </c>
      <c r="H81" s="9">
        <f t="shared" si="7"/>
        <v>67202.46238030096</v>
      </c>
      <c r="I81" s="9">
        <f t="shared" si="8"/>
        <v>67202.46238030096</v>
      </c>
      <c r="J81" s="9">
        <f t="shared" si="9"/>
        <v>67202.46238030096</v>
      </c>
      <c r="K81" s="10">
        <v>672024.62380300963</v>
      </c>
    </row>
    <row r="82" spans="1:11" ht="31" x14ac:dyDescent="0.35">
      <c r="A82" s="5" t="s">
        <v>320</v>
      </c>
      <c r="B82" s="6" t="s">
        <v>321</v>
      </c>
      <c r="C82" s="7" t="s">
        <v>322</v>
      </c>
      <c r="D82" s="7" t="s">
        <v>323</v>
      </c>
      <c r="E82" s="8" t="s">
        <v>13</v>
      </c>
      <c r="F82" s="9">
        <f t="shared" si="5"/>
        <v>470417.23666210688</v>
      </c>
      <c r="G82" s="9">
        <f t="shared" si="6"/>
        <v>201607.38714090298</v>
      </c>
      <c r="H82" s="9">
        <f t="shared" si="7"/>
        <v>67202.462380300989</v>
      </c>
      <c r="I82" s="9">
        <f t="shared" si="8"/>
        <v>67202.462380300989</v>
      </c>
      <c r="J82" s="9">
        <f t="shared" si="9"/>
        <v>67202.462380300989</v>
      </c>
      <c r="K82" s="10">
        <v>672024.62380300986</v>
      </c>
    </row>
    <row r="83" spans="1:11" ht="46.5" x14ac:dyDescent="0.35">
      <c r="A83" s="5" t="s">
        <v>324</v>
      </c>
      <c r="B83" s="6" t="s">
        <v>325</v>
      </c>
      <c r="C83" s="7" t="s">
        <v>326</v>
      </c>
      <c r="D83" s="21" t="s">
        <v>327</v>
      </c>
      <c r="E83" s="8" t="s">
        <v>13</v>
      </c>
      <c r="F83" s="9">
        <f t="shared" si="5"/>
        <v>510516.41586867278</v>
      </c>
      <c r="G83" s="9">
        <f t="shared" si="6"/>
        <v>218792.74965800263</v>
      </c>
      <c r="H83" s="9">
        <f t="shared" si="7"/>
        <v>72930.91655266755</v>
      </c>
      <c r="I83" s="9">
        <f t="shared" si="8"/>
        <v>72930.91655266755</v>
      </c>
      <c r="J83" s="9">
        <f t="shared" si="9"/>
        <v>72930.91655266755</v>
      </c>
      <c r="K83" s="10">
        <v>729309.16552667541</v>
      </c>
    </row>
    <row r="84" spans="1:11" ht="31" x14ac:dyDescent="0.35">
      <c r="A84" s="5" t="s">
        <v>328</v>
      </c>
      <c r="B84" s="6" t="s">
        <v>329</v>
      </c>
      <c r="C84" s="7" t="s">
        <v>330</v>
      </c>
      <c r="D84" s="7" t="s">
        <v>331</v>
      </c>
      <c r="E84" s="8" t="s">
        <v>18</v>
      </c>
      <c r="F84" s="9">
        <f t="shared" si="5"/>
        <v>146511.62790697676</v>
      </c>
      <c r="G84" s="9">
        <f t="shared" si="6"/>
        <v>62790.697674418603</v>
      </c>
      <c r="H84" s="9">
        <f t="shared" si="7"/>
        <v>20930.232558139534</v>
      </c>
      <c r="I84" s="9">
        <f t="shared" si="8"/>
        <v>20930.232558139534</v>
      </c>
      <c r="J84" s="9">
        <f t="shared" si="9"/>
        <v>20930.232558139534</v>
      </c>
      <c r="K84" s="10">
        <v>209302.32558139536</v>
      </c>
    </row>
    <row r="85" spans="1:11" ht="46.5" x14ac:dyDescent="0.35">
      <c r="A85" s="14" t="s">
        <v>332</v>
      </c>
      <c r="B85" s="22" t="s">
        <v>333</v>
      </c>
      <c r="C85" s="14" t="s">
        <v>334</v>
      </c>
      <c r="D85" s="14" t="s">
        <v>335</v>
      </c>
      <c r="E85" s="8" t="s">
        <v>18</v>
      </c>
      <c r="F85" s="9">
        <f t="shared" si="5"/>
        <v>500042.74965800211</v>
      </c>
      <c r="G85" s="9">
        <f t="shared" si="6"/>
        <v>214304.03556771518</v>
      </c>
      <c r="H85" s="9">
        <f t="shared" si="7"/>
        <v>71434.678522571732</v>
      </c>
      <c r="I85" s="9">
        <f t="shared" si="8"/>
        <v>71434.678522571732</v>
      </c>
      <c r="J85" s="9">
        <f t="shared" si="9"/>
        <v>71434.678522571732</v>
      </c>
      <c r="K85" s="10">
        <v>714346.78522571735</v>
      </c>
    </row>
    <row r="86" spans="1:11" ht="46.5" x14ac:dyDescent="0.35">
      <c r="A86" s="5" t="s">
        <v>336</v>
      </c>
      <c r="B86" s="6" t="s">
        <v>337</v>
      </c>
      <c r="C86" s="7" t="s">
        <v>338</v>
      </c>
      <c r="D86" s="7" t="s">
        <v>339</v>
      </c>
      <c r="E86" s="8" t="s">
        <v>13</v>
      </c>
      <c r="F86" s="9">
        <f t="shared" si="5"/>
        <v>129369.15887850468</v>
      </c>
      <c r="G86" s="9">
        <f t="shared" si="6"/>
        <v>55443.925233644855</v>
      </c>
      <c r="H86" s="9">
        <f t="shared" si="7"/>
        <v>18481.308411214952</v>
      </c>
      <c r="I86" s="9">
        <f t="shared" si="8"/>
        <v>18481.308411214952</v>
      </c>
      <c r="J86" s="9">
        <f t="shared" si="9"/>
        <v>18481.308411214952</v>
      </c>
      <c r="K86" s="10">
        <v>184813.08411214952</v>
      </c>
    </row>
    <row r="87" spans="1:11" ht="46.5" x14ac:dyDescent="0.35">
      <c r="A87" s="5" t="s">
        <v>340</v>
      </c>
      <c r="B87" s="6" t="s">
        <v>341</v>
      </c>
      <c r="C87" s="7" t="s">
        <v>342</v>
      </c>
      <c r="D87" s="7" t="s">
        <v>343</v>
      </c>
      <c r="E87" s="8" t="s">
        <v>18</v>
      </c>
      <c r="F87" s="9">
        <f t="shared" si="5"/>
        <v>470417.23666210665</v>
      </c>
      <c r="G87" s="9">
        <f t="shared" si="6"/>
        <v>201607.38714090284</v>
      </c>
      <c r="H87" s="9">
        <f t="shared" si="7"/>
        <v>67202.462380300945</v>
      </c>
      <c r="I87" s="9">
        <f t="shared" si="8"/>
        <v>67202.462380300945</v>
      </c>
      <c r="J87" s="9">
        <f t="shared" si="9"/>
        <v>67202.462380300945</v>
      </c>
      <c r="K87" s="10">
        <v>672024.62380300951</v>
      </c>
    </row>
    <row r="88" spans="1:11" ht="46.5" x14ac:dyDescent="0.35">
      <c r="A88" s="5" t="s">
        <v>344</v>
      </c>
      <c r="B88" s="6" t="s">
        <v>345</v>
      </c>
      <c r="C88" s="7" t="s">
        <v>346</v>
      </c>
      <c r="D88" s="7" t="s">
        <v>109</v>
      </c>
      <c r="E88" s="8" t="s">
        <v>18</v>
      </c>
      <c r="F88" s="9">
        <f t="shared" si="5"/>
        <v>1375341.9972640201</v>
      </c>
      <c r="G88" s="9">
        <f t="shared" si="6"/>
        <v>589432.28454172297</v>
      </c>
      <c r="H88" s="9">
        <f t="shared" si="7"/>
        <v>196477.42818057432</v>
      </c>
      <c r="I88" s="9">
        <f t="shared" si="8"/>
        <v>196477.42818057432</v>
      </c>
      <c r="J88" s="9">
        <f t="shared" si="9"/>
        <v>196477.42818057432</v>
      </c>
      <c r="K88" s="10">
        <v>1964774.2818057432</v>
      </c>
    </row>
    <row r="89" spans="1:11" ht="46.5" x14ac:dyDescent="0.35">
      <c r="A89" s="5" t="s">
        <v>347</v>
      </c>
      <c r="B89" s="6" t="s">
        <v>348</v>
      </c>
      <c r="C89" s="7" t="s">
        <v>346</v>
      </c>
      <c r="D89" s="7" t="s">
        <v>349</v>
      </c>
      <c r="E89" s="8" t="s">
        <v>18</v>
      </c>
      <c r="F89" s="9">
        <f t="shared" si="5"/>
        <v>480591.65526675788</v>
      </c>
      <c r="G89" s="9">
        <f t="shared" si="6"/>
        <v>205967.85225718195</v>
      </c>
      <c r="H89" s="9">
        <f t="shared" si="7"/>
        <v>68655.950752393983</v>
      </c>
      <c r="I89" s="9">
        <f t="shared" si="8"/>
        <v>68655.950752393983</v>
      </c>
      <c r="J89" s="9">
        <f t="shared" si="9"/>
        <v>68655.950752393983</v>
      </c>
      <c r="K89" s="10">
        <v>686559.50752393983</v>
      </c>
    </row>
    <row r="90" spans="1:11" ht="46.5" x14ac:dyDescent="0.35">
      <c r="A90" s="5" t="s">
        <v>350</v>
      </c>
      <c r="B90" s="11" t="s">
        <v>351</v>
      </c>
      <c r="C90" s="12" t="s">
        <v>352</v>
      </c>
      <c r="D90" s="13" t="s">
        <v>353</v>
      </c>
      <c r="E90" s="8" t="s">
        <v>18</v>
      </c>
      <c r="F90" s="9">
        <f t="shared" si="5"/>
        <v>146511.62790697676</v>
      </c>
      <c r="G90" s="9">
        <f t="shared" si="6"/>
        <v>62790.697674418603</v>
      </c>
      <c r="H90" s="9">
        <f t="shared" si="7"/>
        <v>20930.232558139534</v>
      </c>
      <c r="I90" s="9">
        <f t="shared" si="8"/>
        <v>20930.232558139534</v>
      </c>
      <c r="J90" s="9">
        <f t="shared" si="9"/>
        <v>20930.232558139534</v>
      </c>
      <c r="K90" s="10">
        <v>209302.32558139536</v>
      </c>
    </row>
    <row r="91" spans="1:11" ht="46.5" x14ac:dyDescent="0.35">
      <c r="A91" s="5" t="s">
        <v>354</v>
      </c>
      <c r="B91" s="6" t="s">
        <v>355</v>
      </c>
      <c r="C91" s="7" t="s">
        <v>356</v>
      </c>
      <c r="D91" s="7" t="s">
        <v>357</v>
      </c>
      <c r="E91" s="8" t="s">
        <v>13</v>
      </c>
      <c r="F91" s="9">
        <f t="shared" si="5"/>
        <v>430916.55266757897</v>
      </c>
      <c r="G91" s="9">
        <f t="shared" si="6"/>
        <v>184678.52257181954</v>
      </c>
      <c r="H91" s="9">
        <f t="shared" si="7"/>
        <v>61559.50752393985</v>
      </c>
      <c r="I91" s="9">
        <f t="shared" si="8"/>
        <v>61559.50752393985</v>
      </c>
      <c r="J91" s="9">
        <f t="shared" si="9"/>
        <v>61559.50752393985</v>
      </c>
      <c r="K91" s="10">
        <v>615595.07523939852</v>
      </c>
    </row>
    <row r="92" spans="1:11" ht="31" x14ac:dyDescent="0.35">
      <c r="A92" s="5" t="s">
        <v>358</v>
      </c>
      <c r="B92" s="6" t="s">
        <v>359</v>
      </c>
      <c r="C92" s="7" t="s">
        <v>360</v>
      </c>
      <c r="D92" s="7" t="s">
        <v>361</v>
      </c>
      <c r="E92" s="8" t="s">
        <v>18</v>
      </c>
      <c r="F92" s="9">
        <f t="shared" si="5"/>
        <v>217612.85909712702</v>
      </c>
      <c r="G92" s="9">
        <f t="shared" si="6"/>
        <v>93262.653898768724</v>
      </c>
      <c r="H92" s="9">
        <f t="shared" si="7"/>
        <v>31087.551299589573</v>
      </c>
      <c r="I92" s="9">
        <f t="shared" si="8"/>
        <v>31087.551299589573</v>
      </c>
      <c r="J92" s="9">
        <f t="shared" si="9"/>
        <v>31087.551299589573</v>
      </c>
      <c r="K92" s="10">
        <v>310875.51299589576</v>
      </c>
    </row>
    <row r="93" spans="1:11" ht="46.5" x14ac:dyDescent="0.35">
      <c r="A93" s="5" t="s">
        <v>362</v>
      </c>
      <c r="B93" s="6" t="s">
        <v>363</v>
      </c>
      <c r="C93" s="14" t="s">
        <v>364</v>
      </c>
      <c r="D93" s="7" t="s">
        <v>365</v>
      </c>
      <c r="E93" s="8" t="s">
        <v>18</v>
      </c>
      <c r="F93" s="9">
        <f t="shared" si="5"/>
        <v>519493.84404924698</v>
      </c>
      <c r="G93" s="9">
        <f t="shared" si="6"/>
        <v>222640.21887824871</v>
      </c>
      <c r="H93" s="9">
        <f t="shared" si="7"/>
        <v>74213.406292749569</v>
      </c>
      <c r="I93" s="9">
        <f t="shared" si="8"/>
        <v>74213.406292749569</v>
      </c>
      <c r="J93" s="9">
        <f t="shared" si="9"/>
        <v>74213.406292749569</v>
      </c>
      <c r="K93" s="10">
        <v>742134.06292749569</v>
      </c>
    </row>
    <row r="94" spans="1:11" ht="62" x14ac:dyDescent="0.35">
      <c r="A94" s="5" t="s">
        <v>366</v>
      </c>
      <c r="B94" s="6" t="s">
        <v>367</v>
      </c>
      <c r="C94" s="7" t="s">
        <v>368</v>
      </c>
      <c r="D94" s="7" t="s">
        <v>369</v>
      </c>
      <c r="E94" s="8" t="s">
        <v>13</v>
      </c>
      <c r="F94" s="9">
        <f t="shared" si="5"/>
        <v>470417.23666210676</v>
      </c>
      <c r="G94" s="9">
        <f t="shared" si="6"/>
        <v>201607.38714090287</v>
      </c>
      <c r="H94" s="9">
        <f t="shared" si="7"/>
        <v>67202.46238030096</v>
      </c>
      <c r="I94" s="9">
        <f t="shared" si="8"/>
        <v>67202.46238030096</v>
      </c>
      <c r="J94" s="9">
        <f t="shared" si="9"/>
        <v>67202.46238030096</v>
      </c>
      <c r="K94" s="10">
        <v>672024.62380300963</v>
      </c>
    </row>
    <row r="95" spans="1:11" ht="46.5" x14ac:dyDescent="0.35">
      <c r="A95" s="5" t="s">
        <v>370</v>
      </c>
      <c r="B95" s="6" t="s">
        <v>371</v>
      </c>
      <c r="C95" s="14" t="s">
        <v>372</v>
      </c>
      <c r="D95" s="7" t="s">
        <v>373</v>
      </c>
      <c r="E95" s="8" t="s">
        <v>18</v>
      </c>
      <c r="F95" s="9">
        <f t="shared" si="5"/>
        <v>615253.07797537569</v>
      </c>
      <c r="G95" s="9">
        <f t="shared" si="6"/>
        <v>263679.8905608753</v>
      </c>
      <c r="H95" s="9">
        <f t="shared" si="7"/>
        <v>87893.296853625099</v>
      </c>
      <c r="I95" s="9">
        <f t="shared" si="8"/>
        <v>87893.296853625099</v>
      </c>
      <c r="J95" s="9">
        <f t="shared" si="9"/>
        <v>87893.296853625099</v>
      </c>
      <c r="K95" s="10">
        <v>878932.96853625099</v>
      </c>
    </row>
    <row r="96" spans="1:11" ht="46.5" x14ac:dyDescent="0.35">
      <c r="A96" s="5" t="s">
        <v>374</v>
      </c>
      <c r="B96" s="6" t="s">
        <v>375</v>
      </c>
      <c r="C96" s="7" t="s">
        <v>376</v>
      </c>
      <c r="D96" s="7" t="s">
        <v>377</v>
      </c>
      <c r="E96" s="8" t="s">
        <v>13</v>
      </c>
      <c r="F96" s="9">
        <f t="shared" si="5"/>
        <v>146511.62790697676</v>
      </c>
      <c r="G96" s="9">
        <f t="shared" si="6"/>
        <v>62790.69767441861</v>
      </c>
      <c r="H96" s="9">
        <f t="shared" si="7"/>
        <v>20930.232558139538</v>
      </c>
      <c r="I96" s="9">
        <f t="shared" si="8"/>
        <v>20930.232558139538</v>
      </c>
      <c r="J96" s="9">
        <f t="shared" si="9"/>
        <v>20930.232558139538</v>
      </c>
      <c r="K96" s="10">
        <v>209302.32558139539</v>
      </c>
    </row>
    <row r="97" spans="1:11" ht="46.5" x14ac:dyDescent="0.35">
      <c r="A97" s="5" t="s">
        <v>378</v>
      </c>
      <c r="B97" s="6" t="s">
        <v>379</v>
      </c>
      <c r="C97" s="7" t="s">
        <v>380</v>
      </c>
      <c r="D97" s="7" t="s">
        <v>381</v>
      </c>
      <c r="E97" s="8" t="s">
        <v>13</v>
      </c>
      <c r="F97" s="9">
        <f t="shared" si="5"/>
        <v>529668.2626538988</v>
      </c>
      <c r="G97" s="9">
        <f t="shared" si="6"/>
        <v>227000.68399452808</v>
      </c>
      <c r="H97" s="9">
        <f t="shared" si="7"/>
        <v>75666.894664842694</v>
      </c>
      <c r="I97" s="9">
        <f t="shared" si="8"/>
        <v>75666.894664842694</v>
      </c>
      <c r="J97" s="9">
        <f t="shared" si="9"/>
        <v>75666.894664842694</v>
      </c>
      <c r="K97" s="10">
        <v>756668.94664842694</v>
      </c>
    </row>
    <row r="98" spans="1:11" ht="46.5" x14ac:dyDescent="0.35">
      <c r="A98" s="5" t="s">
        <v>382</v>
      </c>
      <c r="B98" s="6" t="s">
        <v>383</v>
      </c>
      <c r="C98" s="7" t="s">
        <v>384</v>
      </c>
      <c r="D98" s="7" t="s">
        <v>385</v>
      </c>
      <c r="E98" s="8" t="s">
        <v>13</v>
      </c>
      <c r="F98" s="9">
        <f t="shared" si="5"/>
        <v>129369.15887850468</v>
      </c>
      <c r="G98" s="9">
        <f t="shared" si="6"/>
        <v>55443.925233644855</v>
      </c>
      <c r="H98" s="9">
        <f t="shared" si="7"/>
        <v>18481.308411214952</v>
      </c>
      <c r="I98" s="9">
        <f t="shared" si="8"/>
        <v>18481.308411214952</v>
      </c>
      <c r="J98" s="9">
        <f t="shared" si="9"/>
        <v>18481.308411214952</v>
      </c>
      <c r="K98" s="10">
        <v>184813.08411214952</v>
      </c>
    </row>
    <row r="99" spans="1:11" ht="46.5" x14ac:dyDescent="0.35">
      <c r="A99" s="5" t="s">
        <v>386</v>
      </c>
      <c r="B99" s="6" t="s">
        <v>387</v>
      </c>
      <c r="C99" s="7" t="s">
        <v>388</v>
      </c>
      <c r="D99" s="7" t="s">
        <v>389</v>
      </c>
      <c r="E99" s="8" t="s">
        <v>13</v>
      </c>
      <c r="F99" s="9">
        <f t="shared" si="5"/>
        <v>141915.18467852258</v>
      </c>
      <c r="G99" s="9">
        <f t="shared" si="6"/>
        <v>60820.793433652536</v>
      </c>
      <c r="H99" s="9">
        <f t="shared" si="7"/>
        <v>20273.597811217511</v>
      </c>
      <c r="I99" s="9">
        <f t="shared" si="8"/>
        <v>20273.597811217511</v>
      </c>
      <c r="J99" s="9">
        <f t="shared" si="9"/>
        <v>20273.597811217511</v>
      </c>
      <c r="K99" s="10">
        <v>202735.9781121751</v>
      </c>
    </row>
    <row r="100" spans="1:11" ht="46.5" x14ac:dyDescent="0.35">
      <c r="A100" s="5" t="s">
        <v>390</v>
      </c>
      <c r="B100" s="6" t="s">
        <v>391</v>
      </c>
      <c r="C100" s="7" t="s">
        <v>392</v>
      </c>
      <c r="D100" s="7" t="s">
        <v>393</v>
      </c>
      <c r="E100" s="8" t="s">
        <v>13</v>
      </c>
      <c r="F100" s="9">
        <f t="shared" si="5"/>
        <v>470417.23666210676</v>
      </c>
      <c r="G100" s="9">
        <f t="shared" si="6"/>
        <v>201607.38714090287</v>
      </c>
      <c r="H100" s="9">
        <f t="shared" si="7"/>
        <v>67202.46238030096</v>
      </c>
      <c r="I100" s="9">
        <f t="shared" si="8"/>
        <v>67202.46238030096</v>
      </c>
      <c r="J100" s="9">
        <f t="shared" si="9"/>
        <v>67202.46238030096</v>
      </c>
      <c r="K100" s="10">
        <v>672024.62380300963</v>
      </c>
    </row>
    <row r="101" spans="1:11" ht="46.5" x14ac:dyDescent="0.35">
      <c r="A101" s="5" t="s">
        <v>394</v>
      </c>
      <c r="B101" s="6" t="s">
        <v>395</v>
      </c>
      <c r="C101" s="7" t="s">
        <v>396</v>
      </c>
      <c r="D101" s="7" t="s">
        <v>397</v>
      </c>
      <c r="E101" s="8" t="s">
        <v>13</v>
      </c>
      <c r="F101" s="9">
        <f t="shared" si="5"/>
        <v>129369.15887850468</v>
      </c>
      <c r="G101" s="9">
        <f t="shared" si="6"/>
        <v>55443.925233644855</v>
      </c>
      <c r="H101" s="9">
        <f t="shared" si="7"/>
        <v>18481.308411214952</v>
      </c>
      <c r="I101" s="9">
        <f t="shared" si="8"/>
        <v>18481.308411214952</v>
      </c>
      <c r="J101" s="9">
        <f t="shared" si="9"/>
        <v>18481.308411214952</v>
      </c>
      <c r="K101" s="10">
        <v>184813.08411214952</v>
      </c>
    </row>
    <row r="102" spans="1:11" ht="46.5" x14ac:dyDescent="0.35">
      <c r="A102" s="5" t="s">
        <v>398</v>
      </c>
      <c r="B102" s="6" t="s">
        <v>399</v>
      </c>
      <c r="C102" s="7" t="s">
        <v>400</v>
      </c>
      <c r="D102" s="7" t="s">
        <v>401</v>
      </c>
      <c r="E102" s="8" t="s">
        <v>13</v>
      </c>
      <c r="F102" s="9">
        <f t="shared" si="5"/>
        <v>134226.63551401868</v>
      </c>
      <c r="G102" s="9">
        <f t="shared" si="6"/>
        <v>57525.700934579443</v>
      </c>
      <c r="H102" s="9">
        <f t="shared" si="7"/>
        <v>19175.233644859814</v>
      </c>
      <c r="I102" s="9">
        <f t="shared" si="8"/>
        <v>19175.233644859814</v>
      </c>
      <c r="J102" s="9">
        <f t="shared" si="9"/>
        <v>19175.233644859814</v>
      </c>
      <c r="K102" s="10">
        <v>191752.33644859813</v>
      </c>
    </row>
    <row r="103" spans="1:11" ht="46.5" x14ac:dyDescent="0.35">
      <c r="A103" s="5" t="s">
        <v>402</v>
      </c>
      <c r="B103" s="6" t="s">
        <v>403</v>
      </c>
      <c r="C103" s="7" t="s">
        <v>404</v>
      </c>
      <c r="D103" s="7" t="s">
        <v>405</v>
      </c>
      <c r="E103" s="8" t="s">
        <v>13</v>
      </c>
      <c r="F103" s="9">
        <f t="shared" si="5"/>
        <v>121273.36448598134</v>
      </c>
      <c r="G103" s="9">
        <f t="shared" si="6"/>
        <v>51974.299065420564</v>
      </c>
      <c r="H103" s="9">
        <f t="shared" si="7"/>
        <v>17324.766355140189</v>
      </c>
      <c r="I103" s="9">
        <f t="shared" si="8"/>
        <v>17324.766355140189</v>
      </c>
      <c r="J103" s="9">
        <f t="shared" si="9"/>
        <v>17324.766355140189</v>
      </c>
      <c r="K103" s="10">
        <v>173247.6635514019</v>
      </c>
    </row>
    <row r="104" spans="1:11" ht="46.5" x14ac:dyDescent="0.35">
      <c r="A104" s="5" t="s">
        <v>406</v>
      </c>
      <c r="B104" s="6" t="s">
        <v>407</v>
      </c>
      <c r="C104" s="7" t="s">
        <v>408</v>
      </c>
      <c r="D104" s="7" t="s">
        <v>25</v>
      </c>
      <c r="E104" s="8" t="s">
        <v>13</v>
      </c>
      <c r="F104" s="9">
        <f t="shared" si="5"/>
        <v>516501.36798905581</v>
      </c>
      <c r="G104" s="9">
        <f t="shared" si="6"/>
        <v>221357.72913816676</v>
      </c>
      <c r="H104" s="9">
        <f t="shared" si="7"/>
        <v>73785.909712722249</v>
      </c>
      <c r="I104" s="9">
        <f t="shared" si="8"/>
        <v>73785.909712722249</v>
      </c>
      <c r="J104" s="9">
        <f t="shared" si="9"/>
        <v>73785.909712722249</v>
      </c>
      <c r="K104" s="10">
        <v>737859.09712722257</v>
      </c>
    </row>
    <row r="105" spans="1:11" ht="31" x14ac:dyDescent="0.35">
      <c r="A105" s="5" t="s">
        <v>409</v>
      </c>
      <c r="B105" s="11" t="s">
        <v>410</v>
      </c>
      <c r="C105" s="12" t="s">
        <v>411</v>
      </c>
      <c r="D105" s="13" t="s">
        <v>412</v>
      </c>
      <c r="E105" s="8" t="s">
        <v>13</v>
      </c>
      <c r="F105" s="9">
        <f t="shared" si="5"/>
        <v>470417.23666210676</v>
      </c>
      <c r="G105" s="9">
        <f t="shared" si="6"/>
        <v>201607.38714090287</v>
      </c>
      <c r="H105" s="9">
        <f t="shared" si="7"/>
        <v>67202.46238030096</v>
      </c>
      <c r="I105" s="9">
        <f t="shared" si="8"/>
        <v>67202.46238030096</v>
      </c>
      <c r="J105" s="9">
        <f t="shared" si="9"/>
        <v>67202.46238030096</v>
      </c>
      <c r="K105" s="10">
        <v>672024.62380300963</v>
      </c>
    </row>
    <row r="106" spans="1:11" ht="31" x14ac:dyDescent="0.35">
      <c r="A106" s="16" t="s">
        <v>413</v>
      </c>
      <c r="B106" s="17" t="s">
        <v>414</v>
      </c>
      <c r="C106" s="17" t="s">
        <v>415</v>
      </c>
      <c r="D106" s="18" t="s">
        <v>416</v>
      </c>
      <c r="E106" s="8" t="s">
        <v>18</v>
      </c>
      <c r="F106" s="9">
        <f t="shared" si="5"/>
        <v>639192.88645690866</v>
      </c>
      <c r="G106" s="9">
        <f t="shared" si="6"/>
        <v>273939.80848153227</v>
      </c>
      <c r="H106" s="9">
        <f t="shared" si="7"/>
        <v>91313.269493844098</v>
      </c>
      <c r="I106" s="9">
        <f t="shared" si="8"/>
        <v>91313.269493844098</v>
      </c>
      <c r="J106" s="9">
        <f t="shared" si="9"/>
        <v>91313.269493844098</v>
      </c>
      <c r="K106" s="10">
        <v>913132.69493844092</v>
      </c>
    </row>
    <row r="107" spans="1:11" ht="31" x14ac:dyDescent="0.35">
      <c r="A107" s="5" t="s">
        <v>417</v>
      </c>
      <c r="B107" s="6" t="s">
        <v>418</v>
      </c>
      <c r="C107" s="7" t="s">
        <v>419</v>
      </c>
      <c r="D107" s="7" t="s">
        <v>420</v>
      </c>
      <c r="E107" s="8" t="s">
        <v>18</v>
      </c>
      <c r="F107" s="9">
        <f t="shared" si="5"/>
        <v>569168.94664842589</v>
      </c>
      <c r="G107" s="9">
        <f t="shared" si="6"/>
        <v>243929.54856361108</v>
      </c>
      <c r="H107" s="9">
        <f t="shared" si="7"/>
        <v>81309.849521203694</v>
      </c>
      <c r="I107" s="9">
        <f t="shared" si="8"/>
        <v>81309.849521203694</v>
      </c>
      <c r="J107" s="9">
        <f t="shared" si="9"/>
        <v>81309.849521203694</v>
      </c>
      <c r="K107" s="10">
        <v>813098.49521203688</v>
      </c>
    </row>
    <row r="108" spans="1:11" ht="46.5" x14ac:dyDescent="0.35">
      <c r="A108" s="5" t="s">
        <v>421</v>
      </c>
      <c r="B108" s="6" t="s">
        <v>422</v>
      </c>
      <c r="C108" s="7" t="s">
        <v>423</v>
      </c>
      <c r="D108" s="7" t="s">
        <v>424</v>
      </c>
      <c r="E108" s="8" t="s">
        <v>18</v>
      </c>
      <c r="F108" s="9">
        <f t="shared" si="5"/>
        <v>121273.36448598134</v>
      </c>
      <c r="G108" s="9">
        <f t="shared" si="6"/>
        <v>51974.299065420564</v>
      </c>
      <c r="H108" s="9">
        <f t="shared" si="7"/>
        <v>17324.766355140189</v>
      </c>
      <c r="I108" s="9">
        <f t="shared" si="8"/>
        <v>17324.766355140189</v>
      </c>
      <c r="J108" s="9">
        <f t="shared" si="9"/>
        <v>17324.766355140189</v>
      </c>
      <c r="K108" s="10">
        <v>173247.6635514019</v>
      </c>
    </row>
    <row r="109" spans="1:11" ht="46.5" x14ac:dyDescent="0.35">
      <c r="A109" s="5" t="s">
        <v>425</v>
      </c>
      <c r="B109" s="6" t="s">
        <v>426</v>
      </c>
      <c r="C109" s="7" t="s">
        <v>427</v>
      </c>
      <c r="D109" s="7" t="s">
        <v>284</v>
      </c>
      <c r="E109" s="8" t="s">
        <v>18</v>
      </c>
      <c r="F109" s="9">
        <f t="shared" si="5"/>
        <v>517818.05745554017</v>
      </c>
      <c r="G109" s="9">
        <f t="shared" si="6"/>
        <v>221922.02462380289</v>
      </c>
      <c r="H109" s="9">
        <f t="shared" si="7"/>
        <v>73974.008207934297</v>
      </c>
      <c r="I109" s="9">
        <f t="shared" si="8"/>
        <v>73974.008207934297</v>
      </c>
      <c r="J109" s="9">
        <f t="shared" si="9"/>
        <v>73974.008207934297</v>
      </c>
      <c r="K109" s="10">
        <v>739740.08207934303</v>
      </c>
    </row>
    <row r="110" spans="1:11" ht="46.5" x14ac:dyDescent="0.35">
      <c r="A110" s="5" t="s">
        <v>428</v>
      </c>
      <c r="B110" s="6" t="s">
        <v>429</v>
      </c>
      <c r="C110" s="7" t="s">
        <v>430</v>
      </c>
      <c r="D110" s="7" t="s">
        <v>431</v>
      </c>
      <c r="E110" s="8" t="s">
        <v>13</v>
      </c>
      <c r="F110" s="9">
        <f t="shared" si="5"/>
        <v>411166.21067031421</v>
      </c>
      <c r="G110" s="9">
        <f t="shared" si="6"/>
        <v>176214.09028727753</v>
      </c>
      <c r="H110" s="9">
        <f t="shared" si="7"/>
        <v>58738.030095759175</v>
      </c>
      <c r="I110" s="9">
        <f t="shared" si="8"/>
        <v>58738.030095759175</v>
      </c>
      <c r="J110" s="9">
        <f t="shared" si="9"/>
        <v>58738.030095759175</v>
      </c>
      <c r="K110" s="10">
        <v>587380.30095759174</v>
      </c>
    </row>
    <row r="111" spans="1:11" ht="46.5" x14ac:dyDescent="0.35">
      <c r="A111" s="5" t="s">
        <v>432</v>
      </c>
      <c r="B111" s="6" t="s">
        <v>433</v>
      </c>
      <c r="C111" s="7" t="s">
        <v>434</v>
      </c>
      <c r="D111" s="7" t="s">
        <v>435</v>
      </c>
      <c r="E111" s="8" t="s">
        <v>13</v>
      </c>
      <c r="F111" s="9">
        <f t="shared" si="5"/>
        <v>401291.03967168281</v>
      </c>
      <c r="G111" s="9">
        <f t="shared" si="6"/>
        <v>171981.87414500691</v>
      </c>
      <c r="H111" s="9">
        <f t="shared" si="7"/>
        <v>57327.291381668969</v>
      </c>
      <c r="I111" s="9">
        <f t="shared" si="8"/>
        <v>57327.291381668969</v>
      </c>
      <c r="J111" s="9">
        <f t="shared" si="9"/>
        <v>57327.291381668969</v>
      </c>
      <c r="K111" s="10">
        <v>573272.91381668975</v>
      </c>
    </row>
    <row r="112" spans="1:11" ht="46.5" x14ac:dyDescent="0.35">
      <c r="A112" s="5" t="s">
        <v>436</v>
      </c>
      <c r="B112" s="6" t="s">
        <v>437</v>
      </c>
      <c r="C112" s="7" t="s">
        <v>434</v>
      </c>
      <c r="D112" s="7" t="s">
        <v>438</v>
      </c>
      <c r="E112" s="8" t="s">
        <v>13</v>
      </c>
      <c r="F112" s="9">
        <f t="shared" si="5"/>
        <v>129369.15887850468</v>
      </c>
      <c r="G112" s="9">
        <f t="shared" si="6"/>
        <v>55443.925233644855</v>
      </c>
      <c r="H112" s="9">
        <f t="shared" si="7"/>
        <v>18481.308411214952</v>
      </c>
      <c r="I112" s="9">
        <f t="shared" si="8"/>
        <v>18481.308411214952</v>
      </c>
      <c r="J112" s="9">
        <f t="shared" si="9"/>
        <v>18481.308411214952</v>
      </c>
      <c r="K112" s="10">
        <v>184813.08411214952</v>
      </c>
    </row>
    <row r="113" spans="1:11" ht="46.5" x14ac:dyDescent="0.35">
      <c r="A113" s="5" t="s">
        <v>439</v>
      </c>
      <c r="B113" s="6" t="s">
        <v>440</v>
      </c>
      <c r="C113" s="7" t="s">
        <v>441</v>
      </c>
      <c r="D113" s="7" t="s">
        <v>442</v>
      </c>
      <c r="E113" s="8" t="s">
        <v>13</v>
      </c>
      <c r="F113" s="9">
        <f t="shared" si="5"/>
        <v>470417.23666210676</v>
      </c>
      <c r="G113" s="9">
        <f t="shared" si="6"/>
        <v>201607.38714090287</v>
      </c>
      <c r="H113" s="9">
        <f t="shared" si="7"/>
        <v>67202.46238030096</v>
      </c>
      <c r="I113" s="9">
        <f t="shared" si="8"/>
        <v>67202.46238030096</v>
      </c>
      <c r="J113" s="9">
        <f t="shared" si="9"/>
        <v>67202.46238030096</v>
      </c>
      <c r="K113" s="10">
        <v>672024.62380300963</v>
      </c>
    </row>
    <row r="114" spans="1:11" ht="46.5" x14ac:dyDescent="0.35">
      <c r="A114" s="5" t="s">
        <v>443</v>
      </c>
      <c r="B114" s="6" t="s">
        <v>444</v>
      </c>
      <c r="C114" s="7" t="s">
        <v>445</v>
      </c>
      <c r="D114" s="7" t="s">
        <v>446</v>
      </c>
      <c r="E114" s="8" t="s">
        <v>13</v>
      </c>
      <c r="F114" s="9">
        <f t="shared" si="5"/>
        <v>465629.27496580029</v>
      </c>
      <c r="G114" s="9">
        <f t="shared" si="6"/>
        <v>199555.40355677152</v>
      </c>
      <c r="H114" s="9">
        <f t="shared" si="7"/>
        <v>66518.467852257178</v>
      </c>
      <c r="I114" s="9">
        <f t="shared" si="8"/>
        <v>66518.467852257178</v>
      </c>
      <c r="J114" s="9">
        <f t="shared" si="9"/>
        <v>66518.467852257178</v>
      </c>
      <c r="K114" s="10">
        <v>665184.6785225718</v>
      </c>
    </row>
    <row r="115" spans="1:11" ht="31" x14ac:dyDescent="0.35">
      <c r="A115" s="5" t="s">
        <v>447</v>
      </c>
      <c r="B115" s="22" t="s">
        <v>448</v>
      </c>
      <c r="C115" s="11" t="s">
        <v>449</v>
      </c>
      <c r="D115" s="12" t="s">
        <v>450</v>
      </c>
      <c r="E115" s="8" t="s">
        <v>18</v>
      </c>
      <c r="F115" s="9">
        <f t="shared" si="5"/>
        <v>483584.13132694951</v>
      </c>
      <c r="G115" s="9">
        <f t="shared" si="6"/>
        <v>207250.34199726407</v>
      </c>
      <c r="H115" s="9">
        <f t="shared" si="7"/>
        <v>69083.447332421361</v>
      </c>
      <c r="I115" s="9">
        <f t="shared" si="8"/>
        <v>69083.447332421361</v>
      </c>
      <c r="J115" s="9">
        <f t="shared" si="9"/>
        <v>69083.447332421361</v>
      </c>
      <c r="K115" s="10">
        <v>690834.47332421364</v>
      </c>
    </row>
    <row r="116" spans="1:11" ht="46.5" x14ac:dyDescent="0.35">
      <c r="A116" s="5" t="s">
        <v>451</v>
      </c>
      <c r="B116" s="6" t="s">
        <v>452</v>
      </c>
      <c r="C116" s="7" t="s">
        <v>453</v>
      </c>
      <c r="D116" s="7" t="s">
        <v>454</v>
      </c>
      <c r="E116" s="8" t="s">
        <v>18</v>
      </c>
      <c r="F116" s="9">
        <f t="shared" si="5"/>
        <v>1833190.8344733245</v>
      </c>
      <c r="G116" s="9">
        <f t="shared" si="6"/>
        <v>785653.21477428183</v>
      </c>
      <c r="H116" s="9">
        <f t="shared" si="7"/>
        <v>261884.4049247606</v>
      </c>
      <c r="I116" s="9">
        <f t="shared" si="8"/>
        <v>261884.4049247606</v>
      </c>
      <c r="J116" s="9">
        <f t="shared" si="9"/>
        <v>261884.4049247606</v>
      </c>
      <c r="K116" s="10">
        <v>2618844.0492476062</v>
      </c>
    </row>
    <row r="117" spans="1:11" ht="46.5" x14ac:dyDescent="0.35">
      <c r="A117" s="5" t="s">
        <v>455</v>
      </c>
      <c r="B117" s="6" t="s">
        <v>456</v>
      </c>
      <c r="C117" s="7" t="s">
        <v>457</v>
      </c>
      <c r="D117" s="7" t="s">
        <v>458</v>
      </c>
      <c r="E117" s="8" t="s">
        <v>13</v>
      </c>
      <c r="F117" s="9">
        <f t="shared" si="5"/>
        <v>615253.07797537616</v>
      </c>
      <c r="G117" s="9">
        <f t="shared" si="6"/>
        <v>263679.89056087553</v>
      </c>
      <c r="H117" s="9">
        <f t="shared" si="7"/>
        <v>87893.296853625172</v>
      </c>
      <c r="I117" s="9">
        <f t="shared" si="8"/>
        <v>87893.296853625172</v>
      </c>
      <c r="J117" s="9">
        <f t="shared" si="9"/>
        <v>87893.296853625172</v>
      </c>
      <c r="K117" s="10">
        <v>878932.96853625169</v>
      </c>
    </row>
    <row r="118" spans="1:11" ht="46.5" x14ac:dyDescent="0.35">
      <c r="A118" s="5" t="s">
        <v>459</v>
      </c>
      <c r="B118" s="6" t="s">
        <v>460</v>
      </c>
      <c r="C118" s="7" t="s">
        <v>457</v>
      </c>
      <c r="D118" s="7" t="s">
        <v>461</v>
      </c>
      <c r="E118" s="8" t="s">
        <v>13</v>
      </c>
      <c r="F118" s="9">
        <f t="shared" si="5"/>
        <v>146511.62790697676</v>
      </c>
      <c r="G118" s="9">
        <f t="shared" si="6"/>
        <v>62790.697674418603</v>
      </c>
      <c r="H118" s="9">
        <f t="shared" si="7"/>
        <v>20930.232558139534</v>
      </c>
      <c r="I118" s="9">
        <f t="shared" si="8"/>
        <v>20930.232558139534</v>
      </c>
      <c r="J118" s="9">
        <f t="shared" si="9"/>
        <v>20930.232558139534</v>
      </c>
      <c r="K118" s="10">
        <v>209302.32558139536</v>
      </c>
    </row>
    <row r="119" spans="1:11" ht="46.5" x14ac:dyDescent="0.35">
      <c r="A119" s="5" t="s">
        <v>462</v>
      </c>
      <c r="B119" s="6" t="s">
        <v>463</v>
      </c>
      <c r="C119" s="7" t="s">
        <v>457</v>
      </c>
      <c r="D119" s="7" t="s">
        <v>464</v>
      </c>
      <c r="E119" s="8" t="s">
        <v>13</v>
      </c>
      <c r="F119" s="9">
        <f t="shared" si="5"/>
        <v>148426.81258549934</v>
      </c>
      <c r="G119" s="9">
        <f t="shared" si="6"/>
        <v>63611.491108071146</v>
      </c>
      <c r="H119" s="9">
        <f t="shared" si="7"/>
        <v>21203.830369357049</v>
      </c>
      <c r="I119" s="9">
        <f t="shared" si="8"/>
        <v>21203.830369357049</v>
      </c>
      <c r="J119" s="9">
        <f t="shared" si="9"/>
        <v>21203.830369357049</v>
      </c>
      <c r="K119" s="10">
        <v>212038.30369357049</v>
      </c>
    </row>
    <row r="120" spans="1:11" ht="46.5" x14ac:dyDescent="0.35">
      <c r="A120" s="5" t="s">
        <v>465</v>
      </c>
      <c r="B120" s="6" t="s">
        <v>466</v>
      </c>
      <c r="C120" s="7" t="s">
        <v>467</v>
      </c>
      <c r="D120" s="7" t="s">
        <v>468</v>
      </c>
      <c r="E120" s="8" t="s">
        <v>13</v>
      </c>
      <c r="F120" s="9">
        <f t="shared" si="5"/>
        <v>532959.98632010957</v>
      </c>
      <c r="G120" s="9">
        <f t="shared" si="6"/>
        <v>228411.4227086184</v>
      </c>
      <c r="H120" s="9">
        <f t="shared" si="7"/>
        <v>76137.140902872794</v>
      </c>
      <c r="I120" s="9">
        <f t="shared" si="8"/>
        <v>76137.140902872794</v>
      </c>
      <c r="J120" s="9">
        <f t="shared" si="9"/>
        <v>76137.140902872794</v>
      </c>
      <c r="K120" s="10">
        <v>761371.40902872791</v>
      </c>
    </row>
    <row r="121" spans="1:11" ht="46.5" x14ac:dyDescent="0.35">
      <c r="A121" s="5" t="s">
        <v>469</v>
      </c>
      <c r="B121" s="6" t="s">
        <v>470</v>
      </c>
      <c r="C121" s="6" t="s">
        <v>471</v>
      </c>
      <c r="D121" s="7" t="s">
        <v>49</v>
      </c>
      <c r="E121" s="8" t="s">
        <v>18</v>
      </c>
      <c r="F121" s="9">
        <f t="shared" si="5"/>
        <v>121273.36448598132</v>
      </c>
      <c r="G121" s="9">
        <f t="shared" si="6"/>
        <v>51974.299065420557</v>
      </c>
      <c r="H121" s="9">
        <f t="shared" si="7"/>
        <v>17324.766355140186</v>
      </c>
      <c r="I121" s="9">
        <f t="shared" si="8"/>
        <v>17324.766355140186</v>
      </c>
      <c r="J121" s="9">
        <f t="shared" si="9"/>
        <v>17324.766355140186</v>
      </c>
      <c r="K121" s="10">
        <v>173247.66355140187</v>
      </c>
    </row>
    <row r="122" spans="1:11" ht="46.5" x14ac:dyDescent="0.35">
      <c r="A122" s="5" t="s">
        <v>472</v>
      </c>
      <c r="B122" s="6" t="s">
        <v>473</v>
      </c>
      <c r="C122" s="6" t="s">
        <v>474</v>
      </c>
      <c r="D122" s="7" t="s">
        <v>475</v>
      </c>
      <c r="E122" s="8" t="s">
        <v>18</v>
      </c>
      <c r="F122" s="9">
        <f t="shared" si="5"/>
        <v>172366.62106703152</v>
      </c>
      <c r="G122" s="9">
        <f t="shared" si="6"/>
        <v>73871.40902872778</v>
      </c>
      <c r="H122" s="9">
        <f t="shared" si="7"/>
        <v>24623.803009575928</v>
      </c>
      <c r="I122" s="9">
        <f t="shared" si="8"/>
        <v>24623.803009575928</v>
      </c>
      <c r="J122" s="9">
        <f t="shared" si="9"/>
        <v>24623.803009575928</v>
      </c>
      <c r="K122" s="10">
        <v>246238.03009575928</v>
      </c>
    </row>
    <row r="123" spans="1:11" ht="31" x14ac:dyDescent="0.35">
      <c r="A123" s="5" t="s">
        <v>476</v>
      </c>
      <c r="B123" s="6" t="s">
        <v>477</v>
      </c>
      <c r="C123" s="7" t="s">
        <v>478</v>
      </c>
      <c r="D123" s="7" t="s">
        <v>479</v>
      </c>
      <c r="E123" s="8" t="s">
        <v>13</v>
      </c>
      <c r="F123" s="9">
        <f t="shared" si="5"/>
        <v>244186.04651162782</v>
      </c>
      <c r="G123" s="9">
        <f t="shared" si="6"/>
        <v>104651.16279069762</v>
      </c>
      <c r="H123" s="9">
        <f t="shared" si="7"/>
        <v>34883.720930232543</v>
      </c>
      <c r="I123" s="9">
        <f t="shared" si="8"/>
        <v>34883.720930232543</v>
      </c>
      <c r="J123" s="9">
        <f t="shared" si="9"/>
        <v>34883.720930232543</v>
      </c>
      <c r="K123" s="10">
        <v>348837.20930232544</v>
      </c>
    </row>
    <row r="124" spans="1:11" ht="46.5" x14ac:dyDescent="0.35">
      <c r="A124" s="5" t="s">
        <v>480</v>
      </c>
      <c r="B124" s="6" t="s">
        <v>481</v>
      </c>
      <c r="C124" s="7" t="s">
        <v>482</v>
      </c>
      <c r="D124" s="7" t="s">
        <v>483</v>
      </c>
      <c r="E124" s="8" t="s">
        <v>13</v>
      </c>
      <c r="F124" s="9">
        <f t="shared" si="5"/>
        <v>470417.23666210676</v>
      </c>
      <c r="G124" s="9">
        <f t="shared" si="6"/>
        <v>201607.38714090287</v>
      </c>
      <c r="H124" s="9">
        <f t="shared" si="7"/>
        <v>67202.46238030096</v>
      </c>
      <c r="I124" s="9">
        <f t="shared" si="8"/>
        <v>67202.46238030096</v>
      </c>
      <c r="J124" s="9">
        <f t="shared" si="9"/>
        <v>67202.46238030096</v>
      </c>
      <c r="K124" s="10">
        <v>672024.62380300963</v>
      </c>
    </row>
    <row r="125" spans="1:11" ht="46.5" x14ac:dyDescent="0.35">
      <c r="A125" s="5" t="s">
        <v>484</v>
      </c>
      <c r="B125" s="6" t="s">
        <v>485</v>
      </c>
      <c r="C125" s="7" t="s">
        <v>486</v>
      </c>
      <c r="D125" s="7" t="s">
        <v>487</v>
      </c>
      <c r="E125" s="8" t="s">
        <v>13</v>
      </c>
      <c r="F125" s="9">
        <f t="shared" si="5"/>
        <v>555493.33105335175</v>
      </c>
      <c r="G125" s="9">
        <f t="shared" si="6"/>
        <v>238068.57045143645</v>
      </c>
      <c r="H125" s="9">
        <f t="shared" si="7"/>
        <v>79356.190150478811</v>
      </c>
      <c r="I125" s="9">
        <f t="shared" si="8"/>
        <v>79356.190150478811</v>
      </c>
      <c r="J125" s="9">
        <f t="shared" si="9"/>
        <v>79356.190150478811</v>
      </c>
      <c r="K125" s="10">
        <v>793561.9015047882</v>
      </c>
    </row>
    <row r="126" spans="1:11" ht="46.5" x14ac:dyDescent="0.35">
      <c r="A126" s="5" t="s">
        <v>488</v>
      </c>
      <c r="B126" s="6" t="s">
        <v>489</v>
      </c>
      <c r="C126" s="7" t="s">
        <v>490</v>
      </c>
      <c r="D126" s="7" t="s">
        <v>491</v>
      </c>
      <c r="E126" s="8" t="s">
        <v>18</v>
      </c>
      <c r="F126" s="9">
        <f t="shared" si="5"/>
        <v>639192.88645690866</v>
      </c>
      <c r="G126" s="9">
        <f t="shared" si="6"/>
        <v>273939.80848153227</v>
      </c>
      <c r="H126" s="9">
        <f t="shared" si="7"/>
        <v>91313.269493844098</v>
      </c>
      <c r="I126" s="9">
        <f t="shared" si="8"/>
        <v>91313.269493844098</v>
      </c>
      <c r="J126" s="9">
        <f t="shared" si="9"/>
        <v>91313.269493844098</v>
      </c>
      <c r="K126" s="10">
        <v>913132.69493844092</v>
      </c>
    </row>
    <row r="127" spans="1:11" ht="46.5" x14ac:dyDescent="0.35">
      <c r="A127" s="5" t="s">
        <v>492</v>
      </c>
      <c r="B127" s="6" t="s">
        <v>493</v>
      </c>
      <c r="C127" s="7" t="s">
        <v>494</v>
      </c>
      <c r="D127" s="7" t="s">
        <v>479</v>
      </c>
      <c r="E127" s="8" t="s">
        <v>13</v>
      </c>
      <c r="F127" s="9">
        <f t="shared" si="5"/>
        <v>509917.92065663484</v>
      </c>
      <c r="G127" s="9">
        <f t="shared" si="6"/>
        <v>218536.25170998636</v>
      </c>
      <c r="H127" s="9">
        <f t="shared" si="7"/>
        <v>72845.417236662121</v>
      </c>
      <c r="I127" s="9">
        <f t="shared" si="8"/>
        <v>72845.417236662121</v>
      </c>
      <c r="J127" s="9">
        <f t="shared" si="9"/>
        <v>72845.417236662121</v>
      </c>
      <c r="K127" s="10">
        <v>728454.17236662121</v>
      </c>
    </row>
    <row r="128" spans="1:11" ht="46.5" x14ac:dyDescent="0.35">
      <c r="A128" s="5" t="s">
        <v>495</v>
      </c>
      <c r="B128" s="6" t="s">
        <v>496</v>
      </c>
      <c r="C128" s="7" t="s">
        <v>497</v>
      </c>
      <c r="D128" s="7" t="s">
        <v>498</v>
      </c>
      <c r="E128" s="8" t="s">
        <v>13</v>
      </c>
      <c r="F128" s="9">
        <f t="shared" si="5"/>
        <v>494117.6470588235</v>
      </c>
      <c r="G128" s="9">
        <f t="shared" si="6"/>
        <v>211764.70588235289</v>
      </c>
      <c r="H128" s="9">
        <f t="shared" si="7"/>
        <v>70588.235294117636</v>
      </c>
      <c r="I128" s="9">
        <f t="shared" si="8"/>
        <v>70588.235294117636</v>
      </c>
      <c r="J128" s="9">
        <f t="shared" si="9"/>
        <v>70588.235294117636</v>
      </c>
      <c r="K128" s="10">
        <v>705882.35294117639</v>
      </c>
    </row>
    <row r="129" spans="1:11" ht="46.5" x14ac:dyDescent="0.35">
      <c r="A129" s="5" t="s">
        <v>499</v>
      </c>
      <c r="B129" s="6" t="s">
        <v>500</v>
      </c>
      <c r="C129" s="7" t="s">
        <v>501</v>
      </c>
      <c r="D129" s="7" t="s">
        <v>502</v>
      </c>
      <c r="E129" s="8" t="s">
        <v>13</v>
      </c>
      <c r="F129" s="9">
        <f t="shared" si="5"/>
        <v>470417.23666210676</v>
      </c>
      <c r="G129" s="9">
        <f t="shared" si="6"/>
        <v>201607.38714090287</v>
      </c>
      <c r="H129" s="9">
        <f t="shared" si="7"/>
        <v>67202.46238030096</v>
      </c>
      <c r="I129" s="9">
        <f t="shared" si="8"/>
        <v>67202.46238030096</v>
      </c>
      <c r="J129" s="9">
        <f t="shared" si="9"/>
        <v>67202.46238030096</v>
      </c>
      <c r="K129" s="10">
        <v>672024.62380300963</v>
      </c>
    </row>
    <row r="130" spans="1:11" ht="46.5" x14ac:dyDescent="0.35">
      <c r="A130" s="5" t="s">
        <v>503</v>
      </c>
      <c r="B130" s="6" t="s">
        <v>504</v>
      </c>
      <c r="C130" s="7" t="s">
        <v>505</v>
      </c>
      <c r="D130" s="7" t="s">
        <v>405</v>
      </c>
      <c r="E130" s="8" t="s">
        <v>13</v>
      </c>
      <c r="F130" s="9">
        <f t="shared" ref="F130:F191" si="10">K130*70/100</f>
        <v>555493.33105335163</v>
      </c>
      <c r="G130" s="9">
        <f t="shared" ref="G130:G191" si="11">H130+I130+J130</f>
        <v>238068.57045143645</v>
      </c>
      <c r="H130" s="9">
        <f t="shared" ref="H130:H191" si="12">K130*10/100</f>
        <v>79356.190150478811</v>
      </c>
      <c r="I130" s="9">
        <f t="shared" ref="I130:I191" si="13">K130*10/100</f>
        <v>79356.190150478811</v>
      </c>
      <c r="J130" s="9">
        <f t="shared" ref="J130:J191" si="14">K130*10/100</f>
        <v>79356.190150478811</v>
      </c>
      <c r="K130" s="10">
        <v>793561.90150478808</v>
      </c>
    </row>
    <row r="131" spans="1:11" ht="31" x14ac:dyDescent="0.35">
      <c r="A131" s="5" t="s">
        <v>506</v>
      </c>
      <c r="B131" s="6" t="s">
        <v>507</v>
      </c>
      <c r="C131" s="7" t="s">
        <v>508</v>
      </c>
      <c r="D131" s="7" t="s">
        <v>509</v>
      </c>
      <c r="E131" s="8" t="s">
        <v>13</v>
      </c>
      <c r="F131" s="9">
        <f t="shared" si="10"/>
        <v>470417.23666210676</v>
      </c>
      <c r="G131" s="9">
        <f t="shared" si="11"/>
        <v>201607.38714090287</v>
      </c>
      <c r="H131" s="9">
        <f t="shared" si="12"/>
        <v>67202.46238030096</v>
      </c>
      <c r="I131" s="9">
        <f t="shared" si="13"/>
        <v>67202.46238030096</v>
      </c>
      <c r="J131" s="9">
        <f t="shared" si="14"/>
        <v>67202.46238030096</v>
      </c>
      <c r="K131" s="10">
        <v>672024.62380300963</v>
      </c>
    </row>
    <row r="132" spans="1:11" ht="46.5" x14ac:dyDescent="0.35">
      <c r="A132" s="5" t="s">
        <v>510</v>
      </c>
      <c r="B132" s="11" t="s">
        <v>511</v>
      </c>
      <c r="C132" s="12" t="s">
        <v>512</v>
      </c>
      <c r="D132" s="13" t="s">
        <v>513</v>
      </c>
      <c r="E132" s="8" t="s">
        <v>13</v>
      </c>
      <c r="F132" s="9">
        <f t="shared" si="10"/>
        <v>483584.13132694951</v>
      </c>
      <c r="G132" s="9">
        <f t="shared" si="11"/>
        <v>207250.34199726407</v>
      </c>
      <c r="H132" s="9">
        <f t="shared" si="12"/>
        <v>69083.447332421361</v>
      </c>
      <c r="I132" s="9">
        <f t="shared" si="13"/>
        <v>69083.447332421361</v>
      </c>
      <c r="J132" s="9">
        <f t="shared" si="14"/>
        <v>69083.447332421361</v>
      </c>
      <c r="K132" s="10">
        <v>690834.47332421364</v>
      </c>
    </row>
    <row r="133" spans="1:11" ht="46.5" x14ac:dyDescent="0.35">
      <c r="A133" s="5" t="s">
        <v>514</v>
      </c>
      <c r="B133" s="6" t="s">
        <v>515</v>
      </c>
      <c r="C133" s="7" t="s">
        <v>516</v>
      </c>
      <c r="D133" s="7" t="s">
        <v>517</v>
      </c>
      <c r="E133" s="8" t="s">
        <v>13</v>
      </c>
      <c r="F133" s="9">
        <f t="shared" si="10"/>
        <v>794801.64158686739</v>
      </c>
      <c r="G133" s="9">
        <f t="shared" si="11"/>
        <v>340629.27496580029</v>
      </c>
      <c r="H133" s="9">
        <f t="shared" si="12"/>
        <v>113543.09165526676</v>
      </c>
      <c r="I133" s="9">
        <f t="shared" si="13"/>
        <v>113543.09165526676</v>
      </c>
      <c r="J133" s="9">
        <f t="shared" si="14"/>
        <v>113543.09165526676</v>
      </c>
      <c r="K133" s="10">
        <v>1135430.9165526677</v>
      </c>
    </row>
    <row r="134" spans="1:11" ht="62" x14ac:dyDescent="0.35">
      <c r="A134" s="5" t="s">
        <v>518</v>
      </c>
      <c r="B134" s="6" t="s">
        <v>519</v>
      </c>
      <c r="C134" s="7" t="s">
        <v>520</v>
      </c>
      <c r="D134" s="7" t="s">
        <v>521</v>
      </c>
      <c r="E134" s="8" t="s">
        <v>18</v>
      </c>
      <c r="F134" s="9">
        <f t="shared" si="10"/>
        <v>129369.15887850468</v>
      </c>
      <c r="G134" s="9">
        <f t="shared" si="11"/>
        <v>55443.925233644855</v>
      </c>
      <c r="H134" s="9">
        <f t="shared" si="12"/>
        <v>18481.308411214952</v>
      </c>
      <c r="I134" s="9">
        <f t="shared" si="13"/>
        <v>18481.308411214952</v>
      </c>
      <c r="J134" s="9">
        <f t="shared" si="14"/>
        <v>18481.308411214952</v>
      </c>
      <c r="K134" s="10">
        <v>184813.08411214952</v>
      </c>
    </row>
    <row r="135" spans="1:11" ht="46.5" x14ac:dyDescent="0.35">
      <c r="A135" s="5" t="s">
        <v>522</v>
      </c>
      <c r="B135" s="23" t="s">
        <v>523</v>
      </c>
      <c r="C135" s="14" t="s">
        <v>524</v>
      </c>
      <c r="D135" s="7" t="s">
        <v>525</v>
      </c>
      <c r="E135" s="8" t="s">
        <v>18</v>
      </c>
      <c r="F135" s="9">
        <f t="shared" si="10"/>
        <v>459644.32284541742</v>
      </c>
      <c r="G135" s="9">
        <f t="shared" si="11"/>
        <v>196990.42407660748</v>
      </c>
      <c r="H135" s="9">
        <f t="shared" si="12"/>
        <v>65663.474692202493</v>
      </c>
      <c r="I135" s="9">
        <f t="shared" si="13"/>
        <v>65663.474692202493</v>
      </c>
      <c r="J135" s="9">
        <f t="shared" si="14"/>
        <v>65663.474692202493</v>
      </c>
      <c r="K135" s="10">
        <v>656634.74692202487</v>
      </c>
    </row>
    <row r="136" spans="1:11" ht="31" x14ac:dyDescent="0.35">
      <c r="A136" s="5" t="s">
        <v>526</v>
      </c>
      <c r="B136" s="6" t="s">
        <v>527</v>
      </c>
      <c r="C136" s="7" t="s">
        <v>528</v>
      </c>
      <c r="D136" s="7" t="s">
        <v>226</v>
      </c>
      <c r="E136" s="8" t="s">
        <v>18</v>
      </c>
      <c r="F136" s="9">
        <f t="shared" si="10"/>
        <v>675102.59917920665</v>
      </c>
      <c r="G136" s="9">
        <f t="shared" si="11"/>
        <v>289329.68536251708</v>
      </c>
      <c r="H136" s="9">
        <f t="shared" si="12"/>
        <v>96443.228454172364</v>
      </c>
      <c r="I136" s="9">
        <f t="shared" si="13"/>
        <v>96443.228454172364</v>
      </c>
      <c r="J136" s="9">
        <f t="shared" si="14"/>
        <v>96443.228454172364</v>
      </c>
      <c r="K136" s="10">
        <v>964432.28454172367</v>
      </c>
    </row>
    <row r="137" spans="1:11" ht="46.5" x14ac:dyDescent="0.35">
      <c r="A137" s="5" t="s">
        <v>529</v>
      </c>
      <c r="B137" s="11" t="s">
        <v>530</v>
      </c>
      <c r="C137" s="12" t="s">
        <v>531</v>
      </c>
      <c r="D137" s="13" t="s">
        <v>532</v>
      </c>
      <c r="E137" s="8" t="s">
        <v>18</v>
      </c>
      <c r="F137" s="9">
        <f t="shared" si="10"/>
        <v>121273.36448598134</v>
      </c>
      <c r="G137" s="9">
        <f t="shared" si="11"/>
        <v>51974.299065420564</v>
      </c>
      <c r="H137" s="9">
        <f t="shared" si="12"/>
        <v>17324.766355140189</v>
      </c>
      <c r="I137" s="9">
        <f t="shared" si="13"/>
        <v>17324.766355140189</v>
      </c>
      <c r="J137" s="9">
        <f t="shared" si="14"/>
        <v>17324.766355140189</v>
      </c>
      <c r="K137" s="10">
        <v>173247.6635514019</v>
      </c>
    </row>
    <row r="138" spans="1:11" ht="46.5" x14ac:dyDescent="0.35">
      <c r="A138" s="5" t="s">
        <v>533</v>
      </c>
      <c r="B138" s="6" t="s">
        <v>534</v>
      </c>
      <c r="C138" s="7" t="s">
        <v>535</v>
      </c>
      <c r="D138" s="7" t="s">
        <v>536</v>
      </c>
      <c r="E138" s="8" t="s">
        <v>18</v>
      </c>
      <c r="F138" s="9">
        <f t="shared" si="10"/>
        <v>351915.18467852252</v>
      </c>
      <c r="G138" s="9">
        <f t="shared" si="11"/>
        <v>150820.79343365252</v>
      </c>
      <c r="H138" s="9">
        <f t="shared" si="12"/>
        <v>50273.597811217507</v>
      </c>
      <c r="I138" s="9">
        <f t="shared" si="13"/>
        <v>50273.597811217507</v>
      </c>
      <c r="J138" s="9">
        <f t="shared" si="14"/>
        <v>50273.597811217507</v>
      </c>
      <c r="K138" s="10">
        <v>502735.97811217501</v>
      </c>
    </row>
    <row r="139" spans="1:11" ht="46.5" x14ac:dyDescent="0.35">
      <c r="A139" s="5" t="s">
        <v>537</v>
      </c>
      <c r="B139" s="6" t="s">
        <v>538</v>
      </c>
      <c r="C139" s="7" t="s">
        <v>539</v>
      </c>
      <c r="D139" s="7" t="s">
        <v>353</v>
      </c>
      <c r="E139" s="8" t="s">
        <v>18</v>
      </c>
      <c r="F139" s="9">
        <f t="shared" si="10"/>
        <v>121273.36448598134</v>
      </c>
      <c r="G139" s="9">
        <f t="shared" si="11"/>
        <v>51974.299065420564</v>
      </c>
      <c r="H139" s="9">
        <f t="shared" si="12"/>
        <v>17324.766355140189</v>
      </c>
      <c r="I139" s="9">
        <f t="shared" si="13"/>
        <v>17324.766355140189</v>
      </c>
      <c r="J139" s="9">
        <f t="shared" si="14"/>
        <v>17324.766355140189</v>
      </c>
      <c r="K139" s="10">
        <v>173247.6635514019</v>
      </c>
    </row>
    <row r="140" spans="1:11" ht="46.5" x14ac:dyDescent="0.35">
      <c r="A140" s="5" t="s">
        <v>540</v>
      </c>
      <c r="B140" s="6" t="s">
        <v>541</v>
      </c>
      <c r="C140" s="14" t="s">
        <v>542</v>
      </c>
      <c r="D140" s="7" t="s">
        <v>543</v>
      </c>
      <c r="E140" s="8" t="s">
        <v>13</v>
      </c>
      <c r="F140" s="9">
        <f t="shared" si="10"/>
        <v>399794.80164158629</v>
      </c>
      <c r="G140" s="9">
        <f t="shared" si="11"/>
        <v>171340.62927496555</v>
      </c>
      <c r="H140" s="9">
        <f t="shared" si="12"/>
        <v>57113.543091655185</v>
      </c>
      <c r="I140" s="9">
        <f t="shared" si="13"/>
        <v>57113.543091655185</v>
      </c>
      <c r="J140" s="9">
        <f t="shared" si="14"/>
        <v>57113.543091655185</v>
      </c>
      <c r="K140" s="10">
        <v>571135.43091655185</v>
      </c>
    </row>
    <row r="141" spans="1:11" ht="46.5" x14ac:dyDescent="0.35">
      <c r="A141" s="16" t="s">
        <v>544</v>
      </c>
      <c r="B141" s="17" t="s">
        <v>545</v>
      </c>
      <c r="C141" s="17" t="s">
        <v>546</v>
      </c>
      <c r="D141" s="18" t="s">
        <v>547</v>
      </c>
      <c r="E141" s="8" t="s">
        <v>13</v>
      </c>
      <c r="F141" s="9">
        <f t="shared" si="10"/>
        <v>301043.09165526694</v>
      </c>
      <c r="G141" s="9">
        <f t="shared" si="11"/>
        <v>129018.46785225726</v>
      </c>
      <c r="H141" s="9">
        <f t="shared" si="12"/>
        <v>43006.155950752422</v>
      </c>
      <c r="I141" s="9">
        <f t="shared" si="13"/>
        <v>43006.155950752422</v>
      </c>
      <c r="J141" s="9">
        <f t="shared" si="14"/>
        <v>43006.155950752422</v>
      </c>
      <c r="K141" s="10">
        <v>430061.55950752425</v>
      </c>
    </row>
    <row r="142" spans="1:11" ht="46.5" x14ac:dyDescent="0.35">
      <c r="A142" s="5" t="s">
        <v>548</v>
      </c>
      <c r="B142" s="11" t="s">
        <v>549</v>
      </c>
      <c r="C142" s="12" t="s">
        <v>550</v>
      </c>
      <c r="D142" s="13" t="s">
        <v>551</v>
      </c>
      <c r="E142" s="8" t="s">
        <v>18</v>
      </c>
      <c r="F142" s="9">
        <f t="shared" si="10"/>
        <v>470417.23666210676</v>
      </c>
      <c r="G142" s="9">
        <f t="shared" si="11"/>
        <v>201607.38714090287</v>
      </c>
      <c r="H142" s="9">
        <f t="shared" si="12"/>
        <v>67202.46238030096</v>
      </c>
      <c r="I142" s="9">
        <f t="shared" si="13"/>
        <v>67202.46238030096</v>
      </c>
      <c r="J142" s="9">
        <f t="shared" si="14"/>
        <v>67202.46238030096</v>
      </c>
      <c r="K142" s="10">
        <v>672024.62380300963</v>
      </c>
    </row>
    <row r="143" spans="1:11" ht="46.5" x14ac:dyDescent="0.35">
      <c r="A143" s="16" t="s">
        <v>552</v>
      </c>
      <c r="B143" s="17" t="s">
        <v>553</v>
      </c>
      <c r="C143" s="17" t="s">
        <v>554</v>
      </c>
      <c r="D143" s="18" t="s">
        <v>555</v>
      </c>
      <c r="E143" s="8" t="s">
        <v>13</v>
      </c>
      <c r="F143" s="9">
        <f t="shared" si="10"/>
        <v>467125.51299589599</v>
      </c>
      <c r="G143" s="9">
        <f t="shared" si="11"/>
        <v>200196.64842681258</v>
      </c>
      <c r="H143" s="9">
        <f t="shared" si="12"/>
        <v>66732.21614227086</v>
      </c>
      <c r="I143" s="9">
        <f t="shared" si="13"/>
        <v>66732.21614227086</v>
      </c>
      <c r="J143" s="9">
        <f t="shared" si="14"/>
        <v>66732.21614227086</v>
      </c>
      <c r="K143" s="10">
        <v>667322.16142270854</v>
      </c>
    </row>
    <row r="144" spans="1:11" ht="46.5" x14ac:dyDescent="0.35">
      <c r="A144" s="5" t="s">
        <v>556</v>
      </c>
      <c r="B144" s="6" t="s">
        <v>557</v>
      </c>
      <c r="C144" s="7" t="s">
        <v>558</v>
      </c>
      <c r="D144" s="7" t="s">
        <v>559</v>
      </c>
      <c r="E144" s="8" t="s">
        <v>18</v>
      </c>
      <c r="F144" s="9">
        <f t="shared" si="10"/>
        <v>435704.5143638851</v>
      </c>
      <c r="G144" s="9">
        <f t="shared" si="11"/>
        <v>186730.50615595077</v>
      </c>
      <c r="H144" s="9">
        <f t="shared" si="12"/>
        <v>62243.502051983589</v>
      </c>
      <c r="I144" s="9">
        <f t="shared" si="13"/>
        <v>62243.502051983589</v>
      </c>
      <c r="J144" s="9">
        <f t="shared" si="14"/>
        <v>62243.502051983589</v>
      </c>
      <c r="K144" s="10">
        <v>622435.02051983587</v>
      </c>
    </row>
    <row r="145" spans="1:11" ht="62" x14ac:dyDescent="0.35">
      <c r="A145" s="5" t="s">
        <v>560</v>
      </c>
      <c r="B145" s="6" t="s">
        <v>561</v>
      </c>
      <c r="C145" s="6" t="s">
        <v>562</v>
      </c>
      <c r="D145" s="7" t="s">
        <v>563</v>
      </c>
      <c r="E145" s="8" t="s">
        <v>18</v>
      </c>
      <c r="F145" s="9">
        <f t="shared" si="10"/>
        <v>480591.65526675788</v>
      </c>
      <c r="G145" s="9">
        <f t="shared" si="11"/>
        <v>205967.85225718195</v>
      </c>
      <c r="H145" s="9">
        <f t="shared" si="12"/>
        <v>68655.950752393983</v>
      </c>
      <c r="I145" s="9">
        <f t="shared" si="13"/>
        <v>68655.950752393983</v>
      </c>
      <c r="J145" s="9">
        <f t="shared" si="14"/>
        <v>68655.950752393983</v>
      </c>
      <c r="K145" s="10">
        <v>686559.50752393983</v>
      </c>
    </row>
    <row r="146" spans="1:11" ht="62" x14ac:dyDescent="0.35">
      <c r="A146" s="5" t="s">
        <v>564</v>
      </c>
      <c r="B146" s="6" t="s">
        <v>565</v>
      </c>
      <c r="C146" s="7" t="s">
        <v>566</v>
      </c>
      <c r="D146" s="7" t="s">
        <v>567</v>
      </c>
      <c r="E146" s="8" t="s">
        <v>13</v>
      </c>
      <c r="F146" s="9">
        <f t="shared" si="10"/>
        <v>470417.23666210676</v>
      </c>
      <c r="G146" s="9">
        <f t="shared" si="11"/>
        <v>201607.38714090287</v>
      </c>
      <c r="H146" s="9">
        <f t="shared" si="12"/>
        <v>67202.46238030096</v>
      </c>
      <c r="I146" s="9">
        <f t="shared" si="13"/>
        <v>67202.46238030096</v>
      </c>
      <c r="J146" s="9">
        <f t="shared" si="14"/>
        <v>67202.46238030096</v>
      </c>
      <c r="K146" s="10">
        <v>672024.62380300963</v>
      </c>
    </row>
    <row r="147" spans="1:11" ht="46.5" x14ac:dyDescent="0.35">
      <c r="A147" s="5" t="s">
        <v>568</v>
      </c>
      <c r="B147" s="6" t="s">
        <v>569</v>
      </c>
      <c r="C147" s="7" t="s">
        <v>570</v>
      </c>
      <c r="D147" s="7" t="s">
        <v>571</v>
      </c>
      <c r="E147" s="8" t="s">
        <v>18</v>
      </c>
      <c r="F147" s="9">
        <f t="shared" si="10"/>
        <v>465629.27496580029</v>
      </c>
      <c r="G147" s="9">
        <f t="shared" si="11"/>
        <v>199555.40355677152</v>
      </c>
      <c r="H147" s="9">
        <f t="shared" si="12"/>
        <v>66518.467852257178</v>
      </c>
      <c r="I147" s="9">
        <f t="shared" si="13"/>
        <v>66518.467852257178</v>
      </c>
      <c r="J147" s="9">
        <f t="shared" si="14"/>
        <v>66518.467852257178</v>
      </c>
      <c r="K147" s="10">
        <v>665184.6785225718</v>
      </c>
    </row>
    <row r="148" spans="1:11" ht="46.5" x14ac:dyDescent="0.35">
      <c r="A148" s="5" t="s">
        <v>572</v>
      </c>
      <c r="B148" s="6" t="s">
        <v>573</v>
      </c>
      <c r="C148" s="7" t="s">
        <v>574</v>
      </c>
      <c r="D148" s="7" t="s">
        <v>575</v>
      </c>
      <c r="E148" s="8" t="s">
        <v>18</v>
      </c>
      <c r="F148" s="9">
        <f t="shared" si="10"/>
        <v>256155.95075239404</v>
      </c>
      <c r="G148" s="9">
        <f t="shared" si="11"/>
        <v>109781.12175102602</v>
      </c>
      <c r="H148" s="9">
        <f t="shared" si="12"/>
        <v>36593.707250342006</v>
      </c>
      <c r="I148" s="9">
        <f t="shared" si="13"/>
        <v>36593.707250342006</v>
      </c>
      <c r="J148" s="9">
        <f t="shared" si="14"/>
        <v>36593.707250342006</v>
      </c>
      <c r="K148" s="10">
        <v>365937.07250342006</v>
      </c>
    </row>
    <row r="149" spans="1:11" ht="62" x14ac:dyDescent="0.35">
      <c r="A149" s="5" t="s">
        <v>576</v>
      </c>
      <c r="B149" s="6" t="s">
        <v>577</v>
      </c>
      <c r="C149" s="7" t="s">
        <v>578</v>
      </c>
      <c r="D149" s="7" t="s">
        <v>183</v>
      </c>
      <c r="E149" s="8" t="s">
        <v>18</v>
      </c>
      <c r="F149" s="9">
        <f t="shared" si="10"/>
        <v>121273.36448598134</v>
      </c>
      <c r="G149" s="9">
        <f t="shared" si="11"/>
        <v>51974.299065420564</v>
      </c>
      <c r="H149" s="9">
        <f t="shared" si="12"/>
        <v>17324.766355140189</v>
      </c>
      <c r="I149" s="9">
        <f t="shared" si="13"/>
        <v>17324.766355140189</v>
      </c>
      <c r="J149" s="9">
        <f t="shared" si="14"/>
        <v>17324.766355140189</v>
      </c>
      <c r="K149" s="10">
        <v>173247.6635514019</v>
      </c>
    </row>
    <row r="150" spans="1:11" ht="46.5" x14ac:dyDescent="0.35">
      <c r="A150" s="5" t="s">
        <v>579</v>
      </c>
      <c r="B150" s="24" t="s">
        <v>580</v>
      </c>
      <c r="C150" s="7" t="s">
        <v>581</v>
      </c>
      <c r="D150" s="7" t="s">
        <v>582</v>
      </c>
      <c r="E150" s="8" t="s">
        <v>18</v>
      </c>
      <c r="F150" s="9">
        <f t="shared" si="10"/>
        <v>550406.12175102602</v>
      </c>
      <c r="G150" s="9">
        <f t="shared" si="11"/>
        <v>235888.33789329685</v>
      </c>
      <c r="H150" s="9">
        <f t="shared" si="12"/>
        <v>78629.445964432278</v>
      </c>
      <c r="I150" s="9">
        <f t="shared" si="13"/>
        <v>78629.445964432278</v>
      </c>
      <c r="J150" s="9">
        <f t="shared" si="14"/>
        <v>78629.445964432278</v>
      </c>
      <c r="K150" s="10">
        <v>786294.45964432287</v>
      </c>
    </row>
    <row r="151" spans="1:11" ht="46.5" x14ac:dyDescent="0.35">
      <c r="A151" s="5" t="s">
        <v>583</v>
      </c>
      <c r="B151" s="6" t="s">
        <v>584</v>
      </c>
      <c r="C151" s="7" t="s">
        <v>585</v>
      </c>
      <c r="D151" s="7" t="s">
        <v>586</v>
      </c>
      <c r="E151" s="8" t="s">
        <v>18</v>
      </c>
      <c r="F151" s="9">
        <f t="shared" si="10"/>
        <v>217612.85909712731</v>
      </c>
      <c r="G151" s="9">
        <f t="shared" si="11"/>
        <v>93262.653898768855</v>
      </c>
      <c r="H151" s="9">
        <f t="shared" si="12"/>
        <v>31087.551299589617</v>
      </c>
      <c r="I151" s="9">
        <f t="shared" si="13"/>
        <v>31087.551299589617</v>
      </c>
      <c r="J151" s="9">
        <f t="shared" si="14"/>
        <v>31087.551299589617</v>
      </c>
      <c r="K151" s="10">
        <v>310875.51299589616</v>
      </c>
    </row>
    <row r="152" spans="1:11" ht="46.5" x14ac:dyDescent="0.35">
      <c r="A152" s="5" t="s">
        <v>587</v>
      </c>
      <c r="B152" s="6" t="s">
        <v>588</v>
      </c>
      <c r="C152" s="7" t="s">
        <v>589</v>
      </c>
      <c r="D152" s="7" t="s">
        <v>590</v>
      </c>
      <c r="E152" s="8" t="s">
        <v>18</v>
      </c>
      <c r="F152" s="9">
        <f t="shared" si="10"/>
        <v>609058.65253077995</v>
      </c>
      <c r="G152" s="9">
        <f t="shared" si="11"/>
        <v>261025.1367989057</v>
      </c>
      <c r="H152" s="9">
        <f t="shared" si="12"/>
        <v>87008.378932968568</v>
      </c>
      <c r="I152" s="9">
        <f t="shared" si="13"/>
        <v>87008.378932968568</v>
      </c>
      <c r="J152" s="9">
        <f t="shared" si="14"/>
        <v>87008.378932968568</v>
      </c>
      <c r="K152" s="10">
        <v>870083.78932968562</v>
      </c>
    </row>
    <row r="153" spans="1:11" ht="46.5" x14ac:dyDescent="0.35">
      <c r="A153" s="16" t="s">
        <v>591</v>
      </c>
      <c r="B153" s="17" t="s">
        <v>592</v>
      </c>
      <c r="C153" s="17" t="s">
        <v>593</v>
      </c>
      <c r="D153" s="18" t="s">
        <v>594</v>
      </c>
      <c r="E153" s="8" t="s">
        <v>18</v>
      </c>
      <c r="F153" s="9">
        <f t="shared" si="10"/>
        <v>480591.65526675788</v>
      </c>
      <c r="G153" s="9">
        <f t="shared" si="11"/>
        <v>205967.85225718195</v>
      </c>
      <c r="H153" s="9">
        <f t="shared" si="12"/>
        <v>68655.950752393983</v>
      </c>
      <c r="I153" s="9">
        <f t="shared" si="13"/>
        <v>68655.950752393983</v>
      </c>
      <c r="J153" s="9">
        <f t="shared" si="14"/>
        <v>68655.950752393983</v>
      </c>
      <c r="K153" s="10">
        <v>686559.50752393983</v>
      </c>
    </row>
    <row r="154" spans="1:11" ht="46.5" x14ac:dyDescent="0.35">
      <c r="A154" s="5" t="s">
        <v>595</v>
      </c>
      <c r="B154" s="6" t="s">
        <v>596</v>
      </c>
      <c r="C154" s="7" t="s">
        <v>597</v>
      </c>
      <c r="D154" s="7" t="s">
        <v>598</v>
      </c>
      <c r="E154" s="8" t="s">
        <v>18</v>
      </c>
      <c r="F154" s="9">
        <f t="shared" si="10"/>
        <v>411166.21067031467</v>
      </c>
      <c r="G154" s="9">
        <f t="shared" si="11"/>
        <v>176214.09028727768</v>
      </c>
      <c r="H154" s="9">
        <f t="shared" si="12"/>
        <v>58738.030095759226</v>
      </c>
      <c r="I154" s="9">
        <f t="shared" si="13"/>
        <v>58738.030095759226</v>
      </c>
      <c r="J154" s="9">
        <f t="shared" si="14"/>
        <v>58738.030095759226</v>
      </c>
      <c r="K154" s="10">
        <v>587380.30095759232</v>
      </c>
    </row>
    <row r="155" spans="1:11" ht="31" x14ac:dyDescent="0.35">
      <c r="A155" s="5" t="s">
        <v>599</v>
      </c>
      <c r="B155" s="6" t="s">
        <v>600</v>
      </c>
      <c r="C155" s="7" t="s">
        <v>357</v>
      </c>
      <c r="D155" s="7" t="s">
        <v>601</v>
      </c>
      <c r="E155" s="8" t="s">
        <v>13</v>
      </c>
      <c r="F155" s="9">
        <f t="shared" si="10"/>
        <v>500042.74965800269</v>
      </c>
      <c r="G155" s="9">
        <f t="shared" si="11"/>
        <v>214304.03556771547</v>
      </c>
      <c r="H155" s="9">
        <f t="shared" si="12"/>
        <v>71434.678522571819</v>
      </c>
      <c r="I155" s="9">
        <f t="shared" si="13"/>
        <v>71434.678522571819</v>
      </c>
      <c r="J155" s="9">
        <f t="shared" si="14"/>
        <v>71434.678522571819</v>
      </c>
      <c r="K155" s="10">
        <v>714346.78522571817</v>
      </c>
    </row>
    <row r="156" spans="1:11" ht="46.5" x14ac:dyDescent="0.35">
      <c r="A156" s="5" t="s">
        <v>602</v>
      </c>
      <c r="B156" s="6" t="s">
        <v>603</v>
      </c>
      <c r="C156" s="7" t="s">
        <v>604</v>
      </c>
      <c r="D156" s="7" t="s">
        <v>582</v>
      </c>
      <c r="E156" s="8" t="s">
        <v>18</v>
      </c>
      <c r="F156" s="9">
        <f t="shared" si="10"/>
        <v>651162.7906976745</v>
      </c>
      <c r="G156" s="9">
        <f t="shared" si="11"/>
        <v>279069.76744186046</v>
      </c>
      <c r="H156" s="9">
        <f t="shared" si="12"/>
        <v>93023.255813953481</v>
      </c>
      <c r="I156" s="9">
        <f t="shared" si="13"/>
        <v>93023.255813953481</v>
      </c>
      <c r="J156" s="9">
        <f t="shared" si="14"/>
        <v>93023.255813953481</v>
      </c>
      <c r="K156" s="10">
        <v>930232.5581395349</v>
      </c>
    </row>
    <row r="157" spans="1:11" ht="46.5" x14ac:dyDescent="0.35">
      <c r="A157" s="5" t="s">
        <v>605</v>
      </c>
      <c r="B157" s="6" t="s">
        <v>606</v>
      </c>
      <c r="C157" s="14" t="s">
        <v>607</v>
      </c>
      <c r="D157" s="7" t="s">
        <v>608</v>
      </c>
      <c r="E157" s="8" t="s">
        <v>18</v>
      </c>
      <c r="F157" s="9">
        <f t="shared" si="10"/>
        <v>615253.07797537569</v>
      </c>
      <c r="G157" s="9">
        <f t="shared" si="11"/>
        <v>263679.8905608753</v>
      </c>
      <c r="H157" s="9">
        <f t="shared" si="12"/>
        <v>87893.296853625099</v>
      </c>
      <c r="I157" s="9">
        <f t="shared" si="13"/>
        <v>87893.296853625099</v>
      </c>
      <c r="J157" s="9">
        <f t="shared" si="14"/>
        <v>87893.296853625099</v>
      </c>
      <c r="K157" s="10">
        <v>878932.96853625099</v>
      </c>
    </row>
    <row r="158" spans="1:11" ht="46.5" x14ac:dyDescent="0.35">
      <c r="A158" s="5" t="s">
        <v>609</v>
      </c>
      <c r="B158" s="6" t="s">
        <v>610</v>
      </c>
      <c r="C158" s="7" t="s">
        <v>611</v>
      </c>
      <c r="D158" s="7" t="s">
        <v>612</v>
      </c>
      <c r="E158" s="8" t="s">
        <v>18</v>
      </c>
      <c r="F158" s="9">
        <f t="shared" si="10"/>
        <v>131495.32710280339</v>
      </c>
      <c r="G158" s="9">
        <f t="shared" si="11"/>
        <v>56355.140186915749</v>
      </c>
      <c r="H158" s="9">
        <f t="shared" si="12"/>
        <v>18785.046728971916</v>
      </c>
      <c r="I158" s="9">
        <f t="shared" si="13"/>
        <v>18785.046728971916</v>
      </c>
      <c r="J158" s="9">
        <f t="shared" si="14"/>
        <v>18785.046728971916</v>
      </c>
      <c r="K158" s="10">
        <v>187850.46728971915</v>
      </c>
    </row>
    <row r="159" spans="1:11" ht="46.5" x14ac:dyDescent="0.35">
      <c r="A159" s="5" t="s">
        <v>613</v>
      </c>
      <c r="B159" s="6" t="s">
        <v>614</v>
      </c>
      <c r="C159" s="7" t="s">
        <v>615</v>
      </c>
      <c r="D159" s="7" t="s">
        <v>339</v>
      </c>
      <c r="E159" s="8" t="s">
        <v>13</v>
      </c>
      <c r="F159" s="9">
        <f t="shared" si="10"/>
        <v>129369.15887850468</v>
      </c>
      <c r="G159" s="9">
        <f t="shared" si="11"/>
        <v>55443.925233644855</v>
      </c>
      <c r="H159" s="9">
        <f t="shared" si="12"/>
        <v>18481.308411214952</v>
      </c>
      <c r="I159" s="9">
        <f t="shared" si="13"/>
        <v>18481.308411214952</v>
      </c>
      <c r="J159" s="9">
        <f t="shared" si="14"/>
        <v>18481.308411214952</v>
      </c>
      <c r="K159" s="10">
        <v>184813.08411214952</v>
      </c>
    </row>
    <row r="160" spans="1:11" ht="46.5" x14ac:dyDescent="0.35">
      <c r="A160" s="5" t="s">
        <v>616</v>
      </c>
      <c r="B160" s="6" t="s">
        <v>617</v>
      </c>
      <c r="C160" s="7" t="s">
        <v>618</v>
      </c>
      <c r="D160" s="7" t="s">
        <v>619</v>
      </c>
      <c r="E160" s="8" t="s">
        <v>18</v>
      </c>
      <c r="F160" s="9">
        <f t="shared" si="10"/>
        <v>131495.32710280339</v>
      </c>
      <c r="G160" s="9">
        <f t="shared" si="11"/>
        <v>56355.140186915749</v>
      </c>
      <c r="H160" s="9">
        <f t="shared" si="12"/>
        <v>18785.046728971916</v>
      </c>
      <c r="I160" s="9">
        <f t="shared" si="13"/>
        <v>18785.046728971916</v>
      </c>
      <c r="J160" s="9">
        <f t="shared" si="14"/>
        <v>18785.046728971916</v>
      </c>
      <c r="K160" s="10">
        <v>187850.46728971915</v>
      </c>
    </row>
    <row r="161" spans="1:11" ht="46.5" x14ac:dyDescent="0.35">
      <c r="A161" s="5" t="s">
        <v>620</v>
      </c>
      <c r="B161" s="6" t="s">
        <v>621</v>
      </c>
      <c r="C161" s="7" t="s">
        <v>622</v>
      </c>
      <c r="D161" s="7" t="s">
        <v>623</v>
      </c>
      <c r="E161" s="8" t="s">
        <v>18</v>
      </c>
      <c r="F161" s="9">
        <f t="shared" si="10"/>
        <v>1333447.332421341</v>
      </c>
      <c r="G161" s="9">
        <f t="shared" si="11"/>
        <v>571477.42818057467</v>
      </c>
      <c r="H161" s="9">
        <f t="shared" si="12"/>
        <v>190492.47606019158</v>
      </c>
      <c r="I161" s="9">
        <f t="shared" si="13"/>
        <v>190492.47606019158</v>
      </c>
      <c r="J161" s="9">
        <f t="shared" si="14"/>
        <v>190492.47606019158</v>
      </c>
      <c r="K161" s="10">
        <v>1904924.7606019157</v>
      </c>
    </row>
    <row r="162" spans="1:11" ht="62" x14ac:dyDescent="0.35">
      <c r="A162" s="5" t="s">
        <v>624</v>
      </c>
      <c r="B162" s="6" t="s">
        <v>625</v>
      </c>
      <c r="C162" s="7" t="s">
        <v>626</v>
      </c>
      <c r="D162" s="7" t="s">
        <v>627</v>
      </c>
      <c r="E162" s="8" t="s">
        <v>18</v>
      </c>
      <c r="F162" s="9">
        <f t="shared" si="10"/>
        <v>599392.95485636091</v>
      </c>
      <c r="G162" s="9">
        <f t="shared" si="11"/>
        <v>256882.6949384404</v>
      </c>
      <c r="H162" s="9">
        <f t="shared" si="12"/>
        <v>85627.564979480128</v>
      </c>
      <c r="I162" s="9">
        <f t="shared" si="13"/>
        <v>85627.564979480128</v>
      </c>
      <c r="J162" s="9">
        <f t="shared" si="14"/>
        <v>85627.564979480128</v>
      </c>
      <c r="K162" s="10">
        <v>856275.64979480137</v>
      </c>
    </row>
    <row r="163" spans="1:11" ht="46.5" x14ac:dyDescent="0.35">
      <c r="A163" s="5" t="s">
        <v>628</v>
      </c>
      <c r="B163" s="11" t="s">
        <v>629</v>
      </c>
      <c r="C163" s="12" t="s">
        <v>630</v>
      </c>
      <c r="D163" s="13" t="s">
        <v>631</v>
      </c>
      <c r="E163" s="8" t="s">
        <v>18</v>
      </c>
      <c r="F163" s="9">
        <f t="shared" si="10"/>
        <v>549418.60465116275</v>
      </c>
      <c r="G163" s="9">
        <f t="shared" si="11"/>
        <v>235465.11627906974</v>
      </c>
      <c r="H163" s="9">
        <f t="shared" si="12"/>
        <v>78488.372093023252</v>
      </c>
      <c r="I163" s="9">
        <f t="shared" si="13"/>
        <v>78488.372093023252</v>
      </c>
      <c r="J163" s="9">
        <f t="shared" si="14"/>
        <v>78488.372093023252</v>
      </c>
      <c r="K163" s="10">
        <v>784883.72093023255</v>
      </c>
    </row>
    <row r="164" spans="1:11" ht="31" x14ac:dyDescent="0.35">
      <c r="A164" s="5" t="s">
        <v>632</v>
      </c>
      <c r="B164" s="6" t="s">
        <v>633</v>
      </c>
      <c r="C164" s="7" t="s">
        <v>634</v>
      </c>
      <c r="D164" s="7" t="s">
        <v>635</v>
      </c>
      <c r="E164" s="8" t="s">
        <v>18</v>
      </c>
      <c r="F164" s="9">
        <f t="shared" si="10"/>
        <v>651162.7906976745</v>
      </c>
      <c r="G164" s="9">
        <f t="shared" si="11"/>
        <v>279069.76744186046</v>
      </c>
      <c r="H164" s="9">
        <f t="shared" si="12"/>
        <v>93023.255813953481</v>
      </c>
      <c r="I164" s="9">
        <f t="shared" si="13"/>
        <v>93023.255813953481</v>
      </c>
      <c r="J164" s="9">
        <f t="shared" si="14"/>
        <v>93023.255813953481</v>
      </c>
      <c r="K164" s="10">
        <v>930232.5581395349</v>
      </c>
    </row>
    <row r="165" spans="1:11" ht="46.5" x14ac:dyDescent="0.35">
      <c r="A165" s="5" t="s">
        <v>636</v>
      </c>
      <c r="B165" s="6" t="s">
        <v>637</v>
      </c>
      <c r="C165" s="7" t="s">
        <v>638</v>
      </c>
      <c r="D165" s="7" t="s">
        <v>639</v>
      </c>
      <c r="E165" s="8" t="s">
        <v>18</v>
      </c>
      <c r="F165" s="9">
        <f t="shared" si="10"/>
        <v>639192.88645690866</v>
      </c>
      <c r="G165" s="9">
        <f t="shared" si="11"/>
        <v>273939.80848153227</v>
      </c>
      <c r="H165" s="9">
        <f t="shared" si="12"/>
        <v>91313.269493844098</v>
      </c>
      <c r="I165" s="9">
        <f t="shared" si="13"/>
        <v>91313.269493844098</v>
      </c>
      <c r="J165" s="9">
        <f t="shared" si="14"/>
        <v>91313.269493844098</v>
      </c>
      <c r="K165" s="10">
        <v>913132.69493844092</v>
      </c>
    </row>
    <row r="166" spans="1:11" ht="46.5" x14ac:dyDescent="0.35">
      <c r="A166" s="5" t="s">
        <v>640</v>
      </c>
      <c r="B166" s="11" t="s">
        <v>641</v>
      </c>
      <c r="C166" s="12" t="s">
        <v>642</v>
      </c>
      <c r="D166" s="13" t="s">
        <v>643</v>
      </c>
      <c r="E166" s="8" t="s">
        <v>18</v>
      </c>
      <c r="F166" s="9">
        <f t="shared" si="10"/>
        <v>639192.88645690866</v>
      </c>
      <c r="G166" s="9">
        <f t="shared" si="11"/>
        <v>273939.80848153227</v>
      </c>
      <c r="H166" s="9">
        <f t="shared" si="12"/>
        <v>91313.269493844098</v>
      </c>
      <c r="I166" s="9">
        <f t="shared" si="13"/>
        <v>91313.269493844098</v>
      </c>
      <c r="J166" s="9">
        <f t="shared" si="14"/>
        <v>91313.269493844098</v>
      </c>
      <c r="K166" s="10">
        <v>913132.69493844092</v>
      </c>
    </row>
    <row r="167" spans="1:11" ht="46.5" x14ac:dyDescent="0.35">
      <c r="A167" s="5" t="s">
        <v>644</v>
      </c>
      <c r="B167" s="6" t="s">
        <v>645</v>
      </c>
      <c r="C167" s="6" t="s">
        <v>646</v>
      </c>
      <c r="D167" s="7" t="s">
        <v>647</v>
      </c>
      <c r="E167" s="8" t="s">
        <v>13</v>
      </c>
      <c r="F167" s="9">
        <f t="shared" si="10"/>
        <v>465629.27496580029</v>
      </c>
      <c r="G167" s="9">
        <f t="shared" si="11"/>
        <v>199555.40355677152</v>
      </c>
      <c r="H167" s="9">
        <f t="shared" si="12"/>
        <v>66518.467852257178</v>
      </c>
      <c r="I167" s="9">
        <f t="shared" si="13"/>
        <v>66518.467852257178</v>
      </c>
      <c r="J167" s="9">
        <f t="shared" si="14"/>
        <v>66518.467852257178</v>
      </c>
      <c r="K167" s="10">
        <v>665184.6785225718</v>
      </c>
    </row>
    <row r="168" spans="1:11" ht="46.5" x14ac:dyDescent="0.35">
      <c r="A168" s="5" t="s">
        <v>648</v>
      </c>
      <c r="B168" s="25" t="s">
        <v>649</v>
      </c>
      <c r="C168" s="12" t="s">
        <v>646</v>
      </c>
      <c r="D168" s="13" t="s">
        <v>650</v>
      </c>
      <c r="E168" s="8" t="s">
        <v>18</v>
      </c>
      <c r="F168" s="9">
        <f t="shared" si="10"/>
        <v>129369.15887850468</v>
      </c>
      <c r="G168" s="9">
        <f t="shared" si="11"/>
        <v>55443.925233644855</v>
      </c>
      <c r="H168" s="9">
        <f t="shared" si="12"/>
        <v>18481.308411214952</v>
      </c>
      <c r="I168" s="9">
        <f t="shared" si="13"/>
        <v>18481.308411214952</v>
      </c>
      <c r="J168" s="9">
        <f t="shared" si="14"/>
        <v>18481.308411214952</v>
      </c>
      <c r="K168" s="10">
        <v>184813.08411214952</v>
      </c>
    </row>
    <row r="169" spans="1:11" ht="46.5" x14ac:dyDescent="0.35">
      <c r="A169" s="5" t="s">
        <v>651</v>
      </c>
      <c r="B169" s="6" t="s">
        <v>652</v>
      </c>
      <c r="C169" s="7" t="s">
        <v>653</v>
      </c>
      <c r="D169" s="7" t="s">
        <v>654</v>
      </c>
      <c r="E169" s="8" t="s">
        <v>18</v>
      </c>
      <c r="F169" s="9">
        <f t="shared" si="10"/>
        <v>146511.62790697676</v>
      </c>
      <c r="G169" s="9">
        <f t="shared" si="11"/>
        <v>62790.697674418603</v>
      </c>
      <c r="H169" s="9">
        <f t="shared" si="12"/>
        <v>20930.232558139534</v>
      </c>
      <c r="I169" s="9">
        <f t="shared" si="13"/>
        <v>20930.232558139534</v>
      </c>
      <c r="J169" s="9">
        <f t="shared" si="14"/>
        <v>20930.232558139534</v>
      </c>
      <c r="K169" s="10">
        <v>209302.32558139536</v>
      </c>
    </row>
    <row r="170" spans="1:11" ht="46.5" x14ac:dyDescent="0.35">
      <c r="A170" s="5" t="s">
        <v>655</v>
      </c>
      <c r="B170" s="6" t="s">
        <v>656</v>
      </c>
      <c r="C170" s="7" t="s">
        <v>148</v>
      </c>
      <c r="D170" s="7" t="s">
        <v>657</v>
      </c>
      <c r="E170" s="8" t="s">
        <v>18</v>
      </c>
      <c r="F170" s="9">
        <f t="shared" si="10"/>
        <v>121273.36448598134</v>
      </c>
      <c r="G170" s="9">
        <f t="shared" si="11"/>
        <v>51974.299065420564</v>
      </c>
      <c r="H170" s="9">
        <f t="shared" si="12"/>
        <v>17324.766355140189</v>
      </c>
      <c r="I170" s="9">
        <f t="shared" si="13"/>
        <v>17324.766355140189</v>
      </c>
      <c r="J170" s="9">
        <f t="shared" si="14"/>
        <v>17324.766355140189</v>
      </c>
      <c r="K170" s="10">
        <v>173247.6635514019</v>
      </c>
    </row>
    <row r="171" spans="1:11" ht="46.5" x14ac:dyDescent="0.35">
      <c r="A171" s="5" t="s">
        <v>658</v>
      </c>
      <c r="B171" s="6" t="s">
        <v>659</v>
      </c>
      <c r="C171" s="7" t="s">
        <v>660</v>
      </c>
      <c r="D171" s="7" t="s">
        <v>661</v>
      </c>
      <c r="E171" s="8" t="s">
        <v>18</v>
      </c>
      <c r="F171" s="9">
        <f t="shared" si="10"/>
        <v>794801.64158686728</v>
      </c>
      <c r="G171" s="9">
        <f t="shared" si="11"/>
        <v>340629.27496580023</v>
      </c>
      <c r="H171" s="9">
        <f t="shared" si="12"/>
        <v>113543.09165526675</v>
      </c>
      <c r="I171" s="9">
        <f t="shared" si="13"/>
        <v>113543.09165526675</v>
      </c>
      <c r="J171" s="9">
        <f t="shared" si="14"/>
        <v>113543.09165526675</v>
      </c>
      <c r="K171" s="10">
        <v>1135430.9165526675</v>
      </c>
    </row>
    <row r="172" spans="1:11" ht="46.5" x14ac:dyDescent="0.35">
      <c r="A172" s="5">
        <v>10211490</v>
      </c>
      <c r="B172" s="6" t="s">
        <v>662</v>
      </c>
      <c r="C172" s="7" t="s">
        <v>663</v>
      </c>
      <c r="D172" s="7" t="s">
        <v>109</v>
      </c>
      <c r="E172" s="8" t="s">
        <v>18</v>
      </c>
      <c r="F172" s="9">
        <f t="shared" si="10"/>
        <v>489569.08344733238</v>
      </c>
      <c r="G172" s="9">
        <f t="shared" si="11"/>
        <v>209815.3214774282</v>
      </c>
      <c r="H172" s="9">
        <f t="shared" si="12"/>
        <v>69938.44049247606</v>
      </c>
      <c r="I172" s="9">
        <f t="shared" si="13"/>
        <v>69938.44049247606</v>
      </c>
      <c r="J172" s="9">
        <f t="shared" si="14"/>
        <v>69938.44049247606</v>
      </c>
      <c r="K172" s="10">
        <v>699384.40492476057</v>
      </c>
    </row>
    <row r="173" spans="1:11" ht="46.5" x14ac:dyDescent="0.35">
      <c r="A173" s="5" t="s">
        <v>664</v>
      </c>
      <c r="B173" s="6" t="s">
        <v>665</v>
      </c>
      <c r="C173" s="7" t="s">
        <v>666</v>
      </c>
      <c r="D173" s="7" t="s">
        <v>109</v>
      </c>
      <c r="E173" s="8" t="s">
        <v>18</v>
      </c>
      <c r="F173" s="9">
        <f t="shared" si="10"/>
        <v>215458.27633378931</v>
      </c>
      <c r="G173" s="9">
        <f t="shared" si="11"/>
        <v>92339.261285909713</v>
      </c>
      <c r="H173" s="9">
        <f t="shared" si="12"/>
        <v>30779.753761969903</v>
      </c>
      <c r="I173" s="9">
        <f t="shared" si="13"/>
        <v>30779.753761969903</v>
      </c>
      <c r="J173" s="9">
        <f t="shared" si="14"/>
        <v>30779.753761969903</v>
      </c>
      <c r="K173" s="10">
        <v>307797.53761969903</v>
      </c>
    </row>
    <row r="174" spans="1:11" ht="46.5" x14ac:dyDescent="0.35">
      <c r="A174" s="5" t="s">
        <v>667</v>
      </c>
      <c r="B174" s="6" t="s">
        <v>668</v>
      </c>
      <c r="C174" s="7" t="s">
        <v>669</v>
      </c>
      <c r="D174" s="7" t="s">
        <v>670</v>
      </c>
      <c r="E174" s="8" t="s">
        <v>18</v>
      </c>
      <c r="F174" s="9">
        <f t="shared" si="10"/>
        <v>549418.60465116275</v>
      </c>
      <c r="G174" s="9">
        <f t="shared" si="11"/>
        <v>235465.11627906974</v>
      </c>
      <c r="H174" s="9">
        <f t="shared" si="12"/>
        <v>78488.372093023252</v>
      </c>
      <c r="I174" s="9">
        <f t="shared" si="13"/>
        <v>78488.372093023252</v>
      </c>
      <c r="J174" s="9">
        <f t="shared" si="14"/>
        <v>78488.372093023252</v>
      </c>
      <c r="K174" s="10">
        <v>784883.72093023255</v>
      </c>
    </row>
    <row r="175" spans="1:11" ht="46.5" x14ac:dyDescent="0.35">
      <c r="A175" s="5" t="s">
        <v>671</v>
      </c>
      <c r="B175" s="6" t="s">
        <v>672</v>
      </c>
      <c r="C175" s="7" t="s">
        <v>673</v>
      </c>
      <c r="D175" s="7" t="s">
        <v>674</v>
      </c>
      <c r="E175" s="8" t="s">
        <v>18</v>
      </c>
      <c r="F175" s="9">
        <f t="shared" si="10"/>
        <v>121028.0373831773</v>
      </c>
      <c r="G175" s="9">
        <f t="shared" si="11"/>
        <v>51869.158878504561</v>
      </c>
      <c r="H175" s="9">
        <f t="shared" si="12"/>
        <v>17289.719626168186</v>
      </c>
      <c r="I175" s="9">
        <f t="shared" si="13"/>
        <v>17289.719626168186</v>
      </c>
      <c r="J175" s="9">
        <f t="shared" si="14"/>
        <v>17289.719626168186</v>
      </c>
      <c r="K175" s="10">
        <v>172897.19626168185</v>
      </c>
    </row>
    <row r="176" spans="1:11" ht="46.5" x14ac:dyDescent="0.35">
      <c r="A176" s="5" t="s">
        <v>675</v>
      </c>
      <c r="B176" s="6" t="s">
        <v>676</v>
      </c>
      <c r="C176" s="7" t="s">
        <v>677</v>
      </c>
      <c r="D176" s="7" t="s">
        <v>678</v>
      </c>
      <c r="E176" s="8" t="s">
        <v>13</v>
      </c>
      <c r="F176" s="9">
        <f t="shared" si="10"/>
        <v>129369.15887850468</v>
      </c>
      <c r="G176" s="9">
        <f t="shared" si="11"/>
        <v>55443.925233644855</v>
      </c>
      <c r="H176" s="9">
        <f t="shared" si="12"/>
        <v>18481.308411214952</v>
      </c>
      <c r="I176" s="9">
        <f t="shared" si="13"/>
        <v>18481.308411214952</v>
      </c>
      <c r="J176" s="9">
        <f t="shared" si="14"/>
        <v>18481.308411214952</v>
      </c>
      <c r="K176" s="10">
        <v>184813.08411214952</v>
      </c>
    </row>
    <row r="177" spans="1:11" ht="46.5" x14ac:dyDescent="0.35">
      <c r="A177" s="5" t="s">
        <v>679</v>
      </c>
      <c r="B177" s="6" t="s">
        <v>680</v>
      </c>
      <c r="C177" s="7" t="s">
        <v>681</v>
      </c>
      <c r="D177" s="7" t="s">
        <v>682</v>
      </c>
      <c r="E177" s="8" t="s">
        <v>13</v>
      </c>
      <c r="F177" s="9">
        <f t="shared" si="10"/>
        <v>129369.15887850468</v>
      </c>
      <c r="G177" s="9">
        <f t="shared" si="11"/>
        <v>55443.925233644855</v>
      </c>
      <c r="H177" s="9">
        <f t="shared" si="12"/>
        <v>18481.308411214952</v>
      </c>
      <c r="I177" s="9">
        <f t="shared" si="13"/>
        <v>18481.308411214952</v>
      </c>
      <c r="J177" s="9">
        <f t="shared" si="14"/>
        <v>18481.308411214952</v>
      </c>
      <c r="K177" s="10">
        <v>184813.08411214952</v>
      </c>
    </row>
    <row r="178" spans="1:11" ht="46.5" x14ac:dyDescent="0.35">
      <c r="A178" s="5" t="s">
        <v>683</v>
      </c>
      <c r="B178" s="6" t="s">
        <v>684</v>
      </c>
      <c r="C178" s="7" t="s">
        <v>685</v>
      </c>
      <c r="D178" s="7" t="s">
        <v>686</v>
      </c>
      <c r="E178" s="8" t="s">
        <v>13</v>
      </c>
      <c r="F178" s="9">
        <f t="shared" si="10"/>
        <v>129369.15887850468</v>
      </c>
      <c r="G178" s="9">
        <f t="shared" si="11"/>
        <v>55443.925233644855</v>
      </c>
      <c r="H178" s="9">
        <f t="shared" si="12"/>
        <v>18481.308411214952</v>
      </c>
      <c r="I178" s="9">
        <f t="shared" si="13"/>
        <v>18481.308411214952</v>
      </c>
      <c r="J178" s="9">
        <f t="shared" si="14"/>
        <v>18481.308411214952</v>
      </c>
      <c r="K178" s="10">
        <v>184813.08411214952</v>
      </c>
    </row>
    <row r="179" spans="1:11" ht="46.5" x14ac:dyDescent="0.35">
      <c r="A179" s="5" t="s">
        <v>687</v>
      </c>
      <c r="B179" s="6" t="s">
        <v>688</v>
      </c>
      <c r="C179" s="7" t="s">
        <v>689</v>
      </c>
      <c r="D179" s="7" t="s">
        <v>690</v>
      </c>
      <c r="E179" s="8" t="s">
        <v>13</v>
      </c>
      <c r="F179" s="9">
        <f t="shared" si="10"/>
        <v>470417.23666210676</v>
      </c>
      <c r="G179" s="9">
        <f t="shared" si="11"/>
        <v>201607.38714090287</v>
      </c>
      <c r="H179" s="9">
        <f t="shared" si="12"/>
        <v>67202.46238030096</v>
      </c>
      <c r="I179" s="9">
        <f t="shared" si="13"/>
        <v>67202.46238030096</v>
      </c>
      <c r="J179" s="9">
        <f t="shared" si="14"/>
        <v>67202.46238030096</v>
      </c>
      <c r="K179" s="10">
        <v>672024.62380300963</v>
      </c>
    </row>
    <row r="180" spans="1:11" ht="46.5" x14ac:dyDescent="0.35">
      <c r="A180" s="5" t="s">
        <v>691</v>
      </c>
      <c r="B180" s="6" t="s">
        <v>692</v>
      </c>
      <c r="C180" s="7" t="s">
        <v>693</v>
      </c>
      <c r="D180" s="7" t="s">
        <v>694</v>
      </c>
      <c r="E180" s="8" t="s">
        <v>13</v>
      </c>
      <c r="F180" s="9">
        <f t="shared" si="10"/>
        <v>470417.23666210676</v>
      </c>
      <c r="G180" s="9">
        <f t="shared" si="11"/>
        <v>201607.38714090287</v>
      </c>
      <c r="H180" s="9">
        <f t="shared" si="12"/>
        <v>67202.46238030096</v>
      </c>
      <c r="I180" s="9">
        <f t="shared" si="13"/>
        <v>67202.46238030096</v>
      </c>
      <c r="J180" s="9">
        <f t="shared" si="14"/>
        <v>67202.46238030096</v>
      </c>
      <c r="K180" s="10">
        <v>672024.62380300963</v>
      </c>
    </row>
    <row r="181" spans="1:11" ht="46.5" x14ac:dyDescent="0.35">
      <c r="A181" s="5" t="s">
        <v>695</v>
      </c>
      <c r="B181" s="6" t="s">
        <v>696</v>
      </c>
      <c r="C181" s="7" t="s">
        <v>697</v>
      </c>
      <c r="D181" s="7" t="s">
        <v>81</v>
      </c>
      <c r="E181" s="8" t="s">
        <v>13</v>
      </c>
      <c r="F181" s="9">
        <f t="shared" si="10"/>
        <v>130841.12149532707</v>
      </c>
      <c r="G181" s="9">
        <f t="shared" si="11"/>
        <v>56074.766355140178</v>
      </c>
      <c r="H181" s="9">
        <f t="shared" si="12"/>
        <v>18691.588785046726</v>
      </c>
      <c r="I181" s="9">
        <f t="shared" si="13"/>
        <v>18691.588785046726</v>
      </c>
      <c r="J181" s="9">
        <f t="shared" si="14"/>
        <v>18691.588785046726</v>
      </c>
      <c r="K181" s="10">
        <v>186915.88785046726</v>
      </c>
    </row>
    <row r="182" spans="1:11" ht="46.5" x14ac:dyDescent="0.35">
      <c r="A182" s="5" t="s">
        <v>698</v>
      </c>
      <c r="B182" s="6" t="s">
        <v>699</v>
      </c>
      <c r="C182" s="7" t="s">
        <v>700</v>
      </c>
      <c r="D182" s="7" t="s">
        <v>701</v>
      </c>
      <c r="E182" s="8" t="s">
        <v>18</v>
      </c>
      <c r="F182" s="9">
        <f t="shared" si="10"/>
        <v>651162.7906976745</v>
      </c>
      <c r="G182" s="9">
        <f t="shared" si="11"/>
        <v>279069.76744186046</v>
      </c>
      <c r="H182" s="9">
        <f t="shared" si="12"/>
        <v>93023.255813953481</v>
      </c>
      <c r="I182" s="9">
        <f t="shared" si="13"/>
        <v>93023.255813953481</v>
      </c>
      <c r="J182" s="9">
        <f t="shared" si="14"/>
        <v>93023.255813953481</v>
      </c>
      <c r="K182" s="10">
        <v>930232.5581395349</v>
      </c>
    </row>
    <row r="183" spans="1:11" ht="46.5" x14ac:dyDescent="0.35">
      <c r="A183" s="5" t="s">
        <v>702</v>
      </c>
      <c r="B183" s="6" t="s">
        <v>703</v>
      </c>
      <c r="C183" s="6" t="s">
        <v>704</v>
      </c>
      <c r="D183" s="7" t="s">
        <v>705</v>
      </c>
      <c r="E183" s="8" t="s">
        <v>18</v>
      </c>
      <c r="F183" s="9">
        <f t="shared" si="10"/>
        <v>143638.85088919292</v>
      </c>
      <c r="G183" s="9">
        <f t="shared" si="11"/>
        <v>61559.507523939821</v>
      </c>
      <c r="H183" s="9">
        <f t="shared" si="12"/>
        <v>20519.835841313274</v>
      </c>
      <c r="I183" s="9">
        <f t="shared" si="13"/>
        <v>20519.835841313274</v>
      </c>
      <c r="J183" s="9">
        <f t="shared" si="14"/>
        <v>20519.835841313274</v>
      </c>
      <c r="K183" s="10">
        <v>205198.35841313272</v>
      </c>
    </row>
    <row r="184" spans="1:11" ht="46.5" x14ac:dyDescent="0.35">
      <c r="A184" s="5" t="s">
        <v>706</v>
      </c>
      <c r="B184" s="6" t="s">
        <v>707</v>
      </c>
      <c r="C184" s="14" t="s">
        <v>708</v>
      </c>
      <c r="D184" s="6" t="s">
        <v>709</v>
      </c>
      <c r="E184" s="8" t="s">
        <v>18</v>
      </c>
      <c r="F184" s="9">
        <f t="shared" si="10"/>
        <v>121028.03738317759</v>
      </c>
      <c r="G184" s="9">
        <f t="shared" si="11"/>
        <v>51869.158878504692</v>
      </c>
      <c r="H184" s="9">
        <f t="shared" si="12"/>
        <v>17289.719626168229</v>
      </c>
      <c r="I184" s="9">
        <f t="shared" si="13"/>
        <v>17289.719626168229</v>
      </c>
      <c r="J184" s="9">
        <f t="shared" si="14"/>
        <v>17289.719626168229</v>
      </c>
      <c r="K184" s="10">
        <v>172897.19626168229</v>
      </c>
    </row>
    <row r="185" spans="1:11" ht="46.5" x14ac:dyDescent="0.35">
      <c r="A185" s="5" t="s">
        <v>710</v>
      </c>
      <c r="B185" s="6" t="s">
        <v>703</v>
      </c>
      <c r="C185" s="6" t="s">
        <v>711</v>
      </c>
      <c r="D185" s="7" t="s">
        <v>712</v>
      </c>
      <c r="E185" s="8" t="s">
        <v>18</v>
      </c>
      <c r="F185" s="9">
        <f t="shared" si="10"/>
        <v>121028.03738317758</v>
      </c>
      <c r="G185" s="9">
        <f t="shared" si="11"/>
        <v>51869.158878504677</v>
      </c>
      <c r="H185" s="9">
        <f t="shared" si="12"/>
        <v>17289.719626168226</v>
      </c>
      <c r="I185" s="9">
        <f t="shared" si="13"/>
        <v>17289.719626168226</v>
      </c>
      <c r="J185" s="9">
        <f t="shared" si="14"/>
        <v>17289.719626168226</v>
      </c>
      <c r="K185" s="10">
        <v>172897.19626168226</v>
      </c>
    </row>
    <row r="186" spans="1:11" ht="31" x14ac:dyDescent="0.35">
      <c r="A186" s="5" t="s">
        <v>713</v>
      </c>
      <c r="B186" s="6" t="s">
        <v>714</v>
      </c>
      <c r="C186" s="6" t="s">
        <v>715</v>
      </c>
      <c r="D186" s="7" t="s">
        <v>716</v>
      </c>
      <c r="E186" s="8" t="s">
        <v>18</v>
      </c>
      <c r="F186" s="9">
        <f t="shared" si="10"/>
        <v>495554.03556771524</v>
      </c>
      <c r="G186" s="9">
        <f t="shared" si="11"/>
        <v>212380.30095759223</v>
      </c>
      <c r="H186" s="9">
        <f t="shared" si="12"/>
        <v>70793.433652530744</v>
      </c>
      <c r="I186" s="9">
        <f t="shared" si="13"/>
        <v>70793.433652530744</v>
      </c>
      <c r="J186" s="9">
        <f t="shared" si="14"/>
        <v>70793.433652530744</v>
      </c>
      <c r="K186" s="10">
        <v>707934.3365253075</v>
      </c>
    </row>
    <row r="187" spans="1:11" ht="31" x14ac:dyDescent="0.35">
      <c r="A187" s="5" t="s">
        <v>717</v>
      </c>
      <c r="B187" s="6" t="s">
        <v>718</v>
      </c>
      <c r="C187" s="6" t="s">
        <v>719</v>
      </c>
      <c r="D187" s="7" t="s">
        <v>720</v>
      </c>
      <c r="E187" s="8" t="s">
        <v>13</v>
      </c>
      <c r="F187" s="9">
        <f t="shared" si="10"/>
        <v>435704.51436388551</v>
      </c>
      <c r="G187" s="9">
        <f t="shared" si="11"/>
        <v>186730.50615595092</v>
      </c>
      <c r="H187" s="9">
        <f t="shared" si="12"/>
        <v>62243.50205198364</v>
      </c>
      <c r="I187" s="9">
        <f t="shared" si="13"/>
        <v>62243.50205198364</v>
      </c>
      <c r="J187" s="9">
        <f t="shared" si="14"/>
        <v>62243.50205198364</v>
      </c>
      <c r="K187" s="10">
        <v>622435.02051983646</v>
      </c>
    </row>
    <row r="188" spans="1:11" ht="46.5" x14ac:dyDescent="0.35">
      <c r="A188" s="5" t="s">
        <v>721</v>
      </c>
      <c r="B188" s="6" t="s">
        <v>722</v>
      </c>
      <c r="C188" s="6" t="s">
        <v>723</v>
      </c>
      <c r="D188" s="7" t="s">
        <v>101</v>
      </c>
      <c r="E188" s="8" t="s">
        <v>18</v>
      </c>
      <c r="F188" s="9">
        <f t="shared" si="10"/>
        <v>111419.3925233645</v>
      </c>
      <c r="G188" s="9">
        <f t="shared" si="11"/>
        <v>47751.168224299079</v>
      </c>
      <c r="H188" s="9">
        <f t="shared" si="12"/>
        <v>15917.056074766359</v>
      </c>
      <c r="I188" s="9">
        <f t="shared" si="13"/>
        <v>15917.056074766359</v>
      </c>
      <c r="J188" s="9">
        <f t="shared" si="14"/>
        <v>15917.056074766359</v>
      </c>
      <c r="K188" s="10">
        <v>159170.56074766358</v>
      </c>
    </row>
    <row r="189" spans="1:11" ht="31" x14ac:dyDescent="0.35">
      <c r="A189" s="5" t="s">
        <v>724</v>
      </c>
      <c r="B189" s="6" t="s">
        <v>725</v>
      </c>
      <c r="C189" s="6" t="s">
        <v>726</v>
      </c>
      <c r="D189" s="7" t="s">
        <v>727</v>
      </c>
      <c r="E189" s="8" t="s">
        <v>13</v>
      </c>
      <c r="F189" s="9">
        <f t="shared" si="10"/>
        <v>459644.32284541731</v>
      </c>
      <c r="G189" s="9">
        <f t="shared" si="11"/>
        <v>196990.42407660739</v>
      </c>
      <c r="H189" s="9">
        <f t="shared" si="12"/>
        <v>65663.474692202464</v>
      </c>
      <c r="I189" s="9">
        <f t="shared" si="13"/>
        <v>65663.474692202464</v>
      </c>
      <c r="J189" s="9">
        <f t="shared" si="14"/>
        <v>65663.474692202464</v>
      </c>
      <c r="K189" s="10">
        <v>656634.74692202476</v>
      </c>
    </row>
    <row r="190" spans="1:11" ht="46.5" x14ac:dyDescent="0.35">
      <c r="A190" s="5" t="s">
        <v>728</v>
      </c>
      <c r="B190" s="6" t="s">
        <v>729</v>
      </c>
      <c r="C190" s="6" t="s">
        <v>730</v>
      </c>
      <c r="D190" s="7" t="s">
        <v>731</v>
      </c>
      <c r="E190" s="8" t="s">
        <v>18</v>
      </c>
      <c r="F190" s="9">
        <f t="shared" si="10"/>
        <v>172366.62106703152</v>
      </c>
      <c r="G190" s="9">
        <f t="shared" si="11"/>
        <v>73871.40902872778</v>
      </c>
      <c r="H190" s="9">
        <f t="shared" si="12"/>
        <v>24623.803009575928</v>
      </c>
      <c r="I190" s="9">
        <f t="shared" si="13"/>
        <v>24623.803009575928</v>
      </c>
      <c r="J190" s="9">
        <f t="shared" si="14"/>
        <v>24623.803009575928</v>
      </c>
      <c r="K190" s="10">
        <v>246238.03009575928</v>
      </c>
    </row>
    <row r="191" spans="1:11" ht="46.5" x14ac:dyDescent="0.35">
      <c r="A191" s="5" t="s">
        <v>732</v>
      </c>
      <c r="B191" s="6" t="s">
        <v>733</v>
      </c>
      <c r="C191" s="7" t="s">
        <v>734</v>
      </c>
      <c r="D191" s="7" t="s">
        <v>735</v>
      </c>
      <c r="E191" s="8" t="s">
        <v>18</v>
      </c>
      <c r="F191" s="9">
        <f t="shared" si="10"/>
        <v>495554.0355677153</v>
      </c>
      <c r="G191" s="9">
        <f t="shared" si="11"/>
        <v>212380.30095759226</v>
      </c>
      <c r="H191" s="9">
        <f t="shared" si="12"/>
        <v>70793.433652530759</v>
      </c>
      <c r="I191" s="9">
        <f t="shared" si="13"/>
        <v>70793.433652530759</v>
      </c>
      <c r="J191" s="9">
        <f t="shared" si="14"/>
        <v>70793.433652530759</v>
      </c>
      <c r="K191" s="10">
        <v>707934.33652530762</v>
      </c>
    </row>
  </sheetData>
  <dataValidations count="3">
    <dataValidation allowBlank="1" showInputMessage="1" showErrorMessage="1" error="please enter the valid number or number range has been exceeded" sqref="F2:J191"/>
    <dataValidation allowBlank="1" showErrorMessage="1" error="please enter the valid number or number range has been exceeded" sqref="K101:K106 K12:K21 K66 K94:K99 C17 K48 K35 C18:D20 C130:D131 K57:K58 K2:K10 K82:K84 K54 C3:D16 K38:K43 B3:B30 K74:K75 K50 K23:K31 K45:K46 K62:K63 K68 K87:K91 K109:K148 K150:K161 K163:K191">
      <formula1>0</formula1>
      <formula2>0</formula2>
    </dataValidation>
    <dataValidation allowBlank="1" showErrorMessage="1" error="enter text only" sqref="D134 C83 C30 D21:D29 D174:D182 D84:D92 D136:D167 D191 D31:D82">
      <formula1>0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nshuti gloriose</cp:lastModifiedBy>
  <dcterms:created xsi:type="dcterms:W3CDTF">2026-06-29T12:37:14Z</dcterms:created>
  <dcterms:modified xsi:type="dcterms:W3CDTF">2026-06-29T12:52:03Z</dcterms:modified>
</cp:coreProperties>
</file>