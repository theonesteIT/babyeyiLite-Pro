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\babyeyipro\Frontend\web\public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R3" i="1" s="1"/>
  <c r="S3" i="1" s="1"/>
  <c r="R4" i="1" s="1"/>
  <c r="S4" i="1" s="1"/>
  <c r="R5" i="1" s="1"/>
  <c r="S5" i="1" s="1"/>
  <c r="R6" i="1" s="1"/>
  <c r="S6" i="1" s="1"/>
  <c r="R7" i="1" s="1"/>
  <c r="S7" i="1" s="1"/>
  <c r="R8" i="1" s="1"/>
  <c r="S8" i="1" s="1"/>
  <c r="R9" i="1" s="1"/>
  <c r="S9" i="1" s="1"/>
  <c r="R10" i="1" s="1"/>
  <c r="S10" i="1" s="1"/>
  <c r="R11" i="1" s="1"/>
  <c r="S11" i="1" s="1"/>
  <c r="R12" i="1" s="1"/>
  <c r="S12" i="1" s="1"/>
  <c r="R13" i="1" s="1"/>
  <c r="S13" i="1" s="1"/>
  <c r="R14" i="1" s="1"/>
  <c r="S14" i="1" s="1"/>
  <c r="R15" i="1" s="1"/>
  <c r="S15" i="1" s="1"/>
  <c r="R16" i="1" s="1"/>
  <c r="S16" i="1" s="1"/>
</calcChain>
</file>

<file path=xl/sharedStrings.xml><?xml version="1.0" encoding="utf-8"?>
<sst xmlns="http://schemas.openxmlformats.org/spreadsheetml/2006/main" count="145" uniqueCount="57">
  <si>
    <t>PROVINCE</t>
  </si>
  <si>
    <t>DISTRICT</t>
  </si>
  <si>
    <t>SECTOR</t>
  </si>
  <si>
    <t>CELLULE</t>
  </si>
  <si>
    <t>VILLAGE</t>
  </si>
  <si>
    <t>type</t>
  </si>
  <si>
    <t>category</t>
  </si>
  <si>
    <t>supplier</t>
  </si>
  <si>
    <t>tax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</si>
  <si>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</si>
  <si>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</si>
  <si>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</si>
  <si>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</si>
  <si>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</si>
  <si>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</si>
  <si>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</si>
  <si>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</si>
  <si>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amount</t>
  </si>
  <si>
    <t>TOTAL BALANCE</t>
  </si>
  <si>
    <t>KIGALI</t>
  </si>
  <si>
    <t>GASABO</t>
  </si>
  <si>
    <t>KIMIRONK</t>
  </si>
  <si>
    <t>BIBARE</t>
  </si>
  <si>
    <t>INYAMIBWA</t>
  </si>
  <si>
    <t>LAND</t>
  </si>
  <si>
    <t>ZIKAMABAHARI JEAN</t>
  </si>
  <si>
    <t>1/02/09/01/3766</t>
  </si>
  <si>
    <t>3766 GAS/KIM</t>
  </si>
  <si>
    <t>1/02/09/01/3772</t>
  </si>
  <si>
    <t>3772 GAS/KIM</t>
  </si>
  <si>
    <t>BUTERA INNOCENT</t>
  </si>
  <si>
    <t>1/02/09/01/3775</t>
  </si>
  <si>
    <t>3775GAS/KIM</t>
  </si>
  <si>
    <t>EASTEN</t>
  </si>
  <si>
    <t>RWAMAGANA</t>
  </si>
  <si>
    <t>MUYUMBA</t>
  </si>
  <si>
    <t>NTEBE</t>
  </si>
  <si>
    <t>GISENYI</t>
  </si>
  <si>
    <t>HATEGEKA LADISLAS</t>
  </si>
  <si>
    <t>5/01/02/08/137</t>
  </si>
  <si>
    <t>137RWA/GAH</t>
  </si>
  <si>
    <t>GAHENGERI</t>
  </si>
  <si>
    <t>RWERI</t>
  </si>
  <si>
    <t>NYAMUGARI</t>
  </si>
  <si>
    <t>5/01/02/08/131</t>
  </si>
  <si>
    <t>131RWA/GAH</t>
  </si>
  <si>
    <t>5/01/02/08/135</t>
  </si>
  <si>
    <t>135RWA/GAH</t>
  </si>
  <si>
    <t>HABARUGIRA SERAPHIN</t>
  </si>
  <si>
    <t>5/01/02/08/273</t>
  </si>
  <si>
    <t>273RWA/GAH</t>
  </si>
  <si>
    <t>NIYOGISUBIZO YVETTE</t>
  </si>
  <si>
    <t>5/01/02/08/132</t>
  </si>
  <si>
    <t>133RWA/GAH</t>
  </si>
  <si>
    <t>5/01/02/08/133</t>
  </si>
  <si>
    <t>132RWA/GAH</t>
  </si>
  <si>
    <t>UMURERWA MARIE FRANCOISE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</si>
</sst>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 * #,##0_ ;_ * \-#,##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65" fontId="1" fillId="0" borderId="0" xfId="1" applyNumberFormat="1" applyAlignment="1">
      <alignment vertical="center"/>
    </xf>
    <xf numFmtId="49" fontId="4" fillId="0" borderId="0" xfId="0" applyNumberFormat="1" applyFont="1" applyFill="1" applyAlignment="1"/>
    <xf numFmtId="0" fontId="4" fillId="0" borderId="0" xfId="0" applyNumberFormat="1" applyFont="1" applyFill="1" applyAlignment="1"/>
    <xf numFmtId="165" fontId="4" fillId="0" borderId="0" xfId="1" applyNumberFormat="1" applyFont="1" applyFill="1" applyAlignment="1"/>
    <xf numFmtId="14" fontId="4" fillId="0" borderId="0" xfId="0" applyNumberFormat="1" applyFont="1" applyFill="1" applyAlignment="1"/>
    <xf numFmtId="165" fontId="3" fillId="0" borderId="0" xfId="1" applyNumberFormat="1" applyFont="1" applyAlignment="1"/>
    <xf numFmtId="165" fontId="4" fillId="0" borderId="0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topLeftCell="J1" workbookViewId="0">
      <selection activeCell="S3" sqref="S3"/>
    </sheetView>
  </sheetViews>
  <sheetFormatPr defaultRowHeight="14.5"/>
  <cols>
    <col min="1" max="1" width="9.453125" bestFit="1" customWidth="1"/>
    <col min="2" max="2" width="12.7265625" bestFit="1" customWidth="1"/>
    <col min="3" max="3" width="10.7265625" bestFit="1" customWidth="1"/>
    <col min="4" max="4" width="7.6328125" bestFit="1" customWidth="1"/>
    <col min="5" max="5" width="11.36328125" bestFit="1" customWidth="1"/>
    <col min="17" max="17" width="18.08984375" bestFit="1" customWidth="1"/>
    <col min="18" max="18" width="14.7265625" bestFit="1" customWidth="1"/>
    <col min="19" max="19" width="14.3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3"/>
      <c r="H2" s="3"/>
      <c r="I2" s="3"/>
      <c r="J2" s="3"/>
      <c r="K2" s="3"/>
      <c r="L2" s="3"/>
      <c r="M2" s="3"/>
      <c r="N2" s="3">
        <v>2018</v>
      </c>
      <c r="O2" s="4">
        <v>1</v>
      </c>
      <c r="P2" s="4">
        <v>1</v>
      </c>
      <c r="Q2" s="5">
        <v>0</v>
      </c>
      <c r="R2" s="5">
        <v>819810000</v>
      </c>
      <c r="S2" s="5">
        <f t="shared" ref="S2:S16" si="0">Q2+R2</f>
        <v>819810000</v>
      </c>
    </row>
    <row r="3" spans="1:19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3" t="s">
        <v>24</v>
      </c>
      <c r="G3" s="3"/>
      <c r="H3" s="3"/>
      <c r="I3" s="3"/>
      <c r="J3" s="3"/>
      <c r="K3" s="3"/>
      <c r="L3" s="3"/>
      <c r="M3" s="3"/>
      <c r="N3" s="3">
        <v>2019</v>
      </c>
      <c r="O3" s="4">
        <v>1</v>
      </c>
      <c r="P3" s="4">
        <v>1</v>
      </c>
      <c r="Q3" s="5">
        <v>0</v>
      </c>
      <c r="R3" s="5">
        <f>S2</f>
        <v>819810000</v>
      </c>
      <c r="S3" s="5">
        <f t="shared" si="0"/>
        <v>819810000</v>
      </c>
    </row>
    <row r="4" spans="1:19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  <c r="G4" s="3"/>
      <c r="H4" s="3"/>
      <c r="I4" s="3"/>
      <c r="J4" s="3"/>
      <c r="K4" s="3"/>
      <c r="L4" s="3"/>
      <c r="M4" s="3"/>
      <c r="N4" s="3">
        <v>2020</v>
      </c>
      <c r="O4" s="4">
        <v>1</v>
      </c>
      <c r="P4" s="4">
        <v>1</v>
      </c>
      <c r="Q4" s="5">
        <v>0</v>
      </c>
      <c r="R4" s="5">
        <f>S3</f>
        <v>819810000</v>
      </c>
      <c r="S4" s="5">
        <f t="shared" si="0"/>
        <v>819810000</v>
      </c>
    </row>
    <row r="5" spans="1:19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  <c r="G5" s="3"/>
      <c r="H5" s="6" t="s">
        <v>25</v>
      </c>
      <c r="I5" s="3"/>
      <c r="J5" s="3" t="s">
        <v>26</v>
      </c>
      <c r="K5" s="2" t="s">
        <v>27</v>
      </c>
      <c r="L5" s="5">
        <v>35854</v>
      </c>
      <c r="M5" s="3"/>
      <c r="N5" s="3">
        <v>2021</v>
      </c>
      <c r="O5" s="7">
        <v>5</v>
      </c>
      <c r="P5" s="3">
        <v>20</v>
      </c>
      <c r="Q5" s="8">
        <v>20500000</v>
      </c>
      <c r="R5" s="5">
        <f>S4</f>
        <v>819810000</v>
      </c>
      <c r="S5" s="5">
        <f t="shared" si="0"/>
        <v>840310000</v>
      </c>
    </row>
    <row r="6" spans="1:19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24</v>
      </c>
      <c r="G6" s="3"/>
      <c r="H6" s="6" t="s">
        <v>25</v>
      </c>
      <c r="I6" s="3"/>
      <c r="J6" s="3" t="s">
        <v>28</v>
      </c>
      <c r="K6" s="2" t="s">
        <v>29</v>
      </c>
      <c r="L6" s="5">
        <v>23104</v>
      </c>
      <c r="M6" s="3"/>
      <c r="N6" s="3">
        <v>2021</v>
      </c>
      <c r="O6" s="7">
        <v>6</v>
      </c>
      <c r="P6" s="3">
        <v>17</v>
      </c>
      <c r="Q6" s="8">
        <v>4000000</v>
      </c>
      <c r="R6" s="5">
        <f>S5</f>
        <v>840310000</v>
      </c>
      <c r="S6" s="5">
        <f t="shared" si="0"/>
        <v>844310000</v>
      </c>
    </row>
    <row r="7" spans="1:19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3" t="s">
        <v>24</v>
      </c>
      <c r="G7" s="3"/>
      <c r="H7" s="6" t="s">
        <v>30</v>
      </c>
      <c r="I7" s="3"/>
      <c r="J7" s="3" t="s">
        <v>31</v>
      </c>
      <c r="K7" s="2" t="s">
        <v>32</v>
      </c>
      <c r="L7" s="5">
        <v>7002</v>
      </c>
      <c r="M7" s="3"/>
      <c r="N7" s="3">
        <v>2021</v>
      </c>
      <c r="O7" s="7">
        <v>9</v>
      </c>
      <c r="P7" s="3">
        <v>16</v>
      </c>
      <c r="Q7" s="8">
        <v>8000000</v>
      </c>
      <c r="R7" s="5">
        <f t="shared" ref="R7:R16" si="1">S6</f>
        <v>844310000</v>
      </c>
      <c r="S7" s="5">
        <f t="shared" si="0"/>
        <v>852310000</v>
      </c>
    </row>
    <row r="8" spans="1:19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 t="s">
        <v>24</v>
      </c>
      <c r="G8" s="3"/>
      <c r="H8" s="6" t="s">
        <v>38</v>
      </c>
      <c r="I8" s="3"/>
      <c r="J8" s="3" t="s">
        <v>39</v>
      </c>
      <c r="K8" s="2" t="s">
        <v>40</v>
      </c>
      <c r="L8" s="5">
        <v>13054</v>
      </c>
      <c r="M8" s="3"/>
      <c r="N8" s="3">
        <v>2021</v>
      </c>
      <c r="O8" s="7">
        <v>10</v>
      </c>
      <c r="P8" s="3">
        <v>31</v>
      </c>
      <c r="Q8" s="8">
        <v>34000000</v>
      </c>
      <c r="R8" s="5">
        <f t="shared" si="1"/>
        <v>852310000</v>
      </c>
      <c r="S8" s="5">
        <f t="shared" si="0"/>
        <v>886310000</v>
      </c>
    </row>
    <row r="9" spans="1:19">
      <c r="A9" s="2" t="s">
        <v>33</v>
      </c>
      <c r="B9" s="2" t="s">
        <v>34</v>
      </c>
      <c r="C9" s="2" t="s">
        <v>41</v>
      </c>
      <c r="D9" s="2" t="s">
        <v>42</v>
      </c>
      <c r="E9" s="2" t="s">
        <v>43</v>
      </c>
      <c r="F9" s="3" t="s">
        <v>24</v>
      </c>
      <c r="G9" s="3"/>
      <c r="H9" s="6" t="s">
        <v>38</v>
      </c>
      <c r="I9" s="3"/>
      <c r="J9" s="3" t="s">
        <v>44</v>
      </c>
      <c r="K9" s="2" t="s">
        <v>45</v>
      </c>
      <c r="L9" s="5">
        <v>3106</v>
      </c>
      <c r="M9" s="3"/>
      <c r="N9" s="3">
        <v>2021</v>
      </c>
      <c r="O9" s="7">
        <v>11</v>
      </c>
      <c r="P9" s="3">
        <v>28</v>
      </c>
      <c r="Q9" s="8">
        <v>10000000</v>
      </c>
      <c r="R9" s="5">
        <f t="shared" si="1"/>
        <v>886310000</v>
      </c>
      <c r="S9" s="5">
        <f t="shared" si="0"/>
        <v>896310000</v>
      </c>
    </row>
    <row r="10" spans="1:19">
      <c r="A10" s="2" t="s">
        <v>33</v>
      </c>
      <c r="B10" s="2" t="s">
        <v>34</v>
      </c>
      <c r="C10" s="2" t="s">
        <v>41</v>
      </c>
      <c r="D10" s="2" t="s">
        <v>42</v>
      </c>
      <c r="E10" s="2" t="s">
        <v>43</v>
      </c>
      <c r="F10" s="3" t="s">
        <v>24</v>
      </c>
      <c r="G10" s="3"/>
      <c r="H10" s="6" t="s">
        <v>38</v>
      </c>
      <c r="I10" s="3"/>
      <c r="J10" s="3" t="s">
        <v>46</v>
      </c>
      <c r="K10" s="2" t="s">
        <v>47</v>
      </c>
      <c r="L10" s="5">
        <v>682</v>
      </c>
      <c r="M10" s="3"/>
      <c r="N10" s="3">
        <v>2022</v>
      </c>
      <c r="O10" s="4">
        <v>1</v>
      </c>
      <c r="P10" s="3">
        <v>17</v>
      </c>
      <c r="Q10" s="8">
        <v>13000000</v>
      </c>
      <c r="R10" s="5">
        <f t="shared" si="1"/>
        <v>896310000</v>
      </c>
      <c r="S10" s="5">
        <f t="shared" si="0"/>
        <v>909310000</v>
      </c>
    </row>
    <row r="11" spans="1:19">
      <c r="A11" s="2" t="s">
        <v>33</v>
      </c>
      <c r="B11" s="2" t="s">
        <v>34</v>
      </c>
      <c r="C11" s="2" t="s">
        <v>41</v>
      </c>
      <c r="D11" s="2" t="s">
        <v>42</v>
      </c>
      <c r="E11" s="2" t="s">
        <v>43</v>
      </c>
      <c r="F11" s="3" t="s">
        <v>24</v>
      </c>
      <c r="G11" s="3"/>
      <c r="H11" s="6" t="s">
        <v>48</v>
      </c>
      <c r="I11" s="3"/>
      <c r="J11" s="3" t="s">
        <v>49</v>
      </c>
      <c r="K11" s="2" t="s">
        <v>50</v>
      </c>
      <c r="L11" s="5">
        <v>1853</v>
      </c>
      <c r="M11" s="9"/>
      <c r="N11" s="3">
        <v>2022</v>
      </c>
      <c r="O11" s="3">
        <v>3</v>
      </c>
      <c r="P11" s="3">
        <v>25</v>
      </c>
      <c r="Q11" s="8">
        <v>12000000</v>
      </c>
      <c r="R11" s="5">
        <f t="shared" si="1"/>
        <v>909310000</v>
      </c>
      <c r="S11" s="5">
        <f t="shared" si="0"/>
        <v>921310000</v>
      </c>
    </row>
    <row r="12" spans="1:19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3" t="s">
        <v>24</v>
      </c>
      <c r="G12" s="3"/>
      <c r="H12" s="6" t="s">
        <v>51</v>
      </c>
      <c r="I12" s="3"/>
      <c r="J12" s="3" t="s">
        <v>52</v>
      </c>
      <c r="K12" s="2" t="s">
        <v>53</v>
      </c>
      <c r="L12" s="5">
        <v>13743</v>
      </c>
      <c r="M12" s="9"/>
      <c r="N12" s="3">
        <v>2022</v>
      </c>
      <c r="O12" s="3">
        <v>7</v>
      </c>
      <c r="P12" s="3">
        <v>22</v>
      </c>
      <c r="Q12" s="8">
        <v>2000000</v>
      </c>
      <c r="R12" s="5">
        <f t="shared" si="1"/>
        <v>921310000</v>
      </c>
      <c r="S12" s="5">
        <f t="shared" si="0"/>
        <v>923310000</v>
      </c>
    </row>
    <row r="13" spans="1:19">
      <c r="A13" s="2" t="s">
        <v>33</v>
      </c>
      <c r="B13" s="2" t="s">
        <v>34</v>
      </c>
      <c r="C13" s="2" t="s">
        <v>41</v>
      </c>
      <c r="D13" s="2" t="s">
        <v>42</v>
      </c>
      <c r="E13" s="2" t="s">
        <v>43</v>
      </c>
      <c r="F13" s="3" t="s">
        <v>24</v>
      </c>
      <c r="G13" s="3"/>
      <c r="H13" s="6" t="s">
        <v>51</v>
      </c>
      <c r="I13" s="3"/>
      <c r="J13" s="3" t="s">
        <v>54</v>
      </c>
      <c r="K13" s="2" t="s">
        <v>55</v>
      </c>
      <c r="L13" s="5">
        <v>2683</v>
      </c>
      <c r="M13" s="9"/>
      <c r="N13" s="3">
        <v>2022</v>
      </c>
      <c r="O13" s="3">
        <v>9</v>
      </c>
      <c r="P13" s="3">
        <v>7</v>
      </c>
      <c r="Q13" s="8">
        <v>8000000</v>
      </c>
      <c r="R13" s="5">
        <f t="shared" si="1"/>
        <v>923310000</v>
      </c>
      <c r="S13" s="5">
        <f t="shared" si="0"/>
        <v>931310000</v>
      </c>
    </row>
    <row r="14" spans="1:19">
      <c r="A14" s="2" t="s">
        <v>33</v>
      </c>
      <c r="B14" s="2" t="s">
        <v>34</v>
      </c>
      <c r="C14" s="2" t="s">
        <v>41</v>
      </c>
      <c r="D14" s="2" t="s">
        <v>42</v>
      </c>
      <c r="E14" s="2" t="s">
        <v>43</v>
      </c>
      <c r="F14" s="3" t="s">
        <v>24</v>
      </c>
      <c r="G14" s="3"/>
      <c r="H14" s="6" t="s">
        <v>56</v>
      </c>
      <c r="I14" s="3"/>
      <c r="J14" s="2" t="s">
        <v>44</v>
      </c>
      <c r="K14" s="2" t="s">
        <v>45</v>
      </c>
      <c r="L14" s="10">
        <v>3106</v>
      </c>
      <c r="M14" s="9"/>
      <c r="N14" s="3">
        <v>2023</v>
      </c>
      <c r="O14" s="4">
        <v>5</v>
      </c>
      <c r="P14" s="3">
        <v>10</v>
      </c>
      <c r="Q14" s="8">
        <v>12000000</v>
      </c>
      <c r="R14" s="5">
        <f t="shared" si="1"/>
        <v>931310000</v>
      </c>
      <c r="S14" s="5">
        <f t="shared" si="0"/>
        <v>943310000</v>
      </c>
    </row>
    <row r="15" spans="1:19">
      <c r="A15" s="2" t="s">
        <v>33</v>
      </c>
      <c r="B15" s="2" t="s">
        <v>34</v>
      </c>
      <c r="C15" s="2" t="s">
        <v>41</v>
      </c>
      <c r="D15" s="2" t="s">
        <v>42</v>
      </c>
      <c r="E15" s="2" t="s">
        <v>43</v>
      </c>
      <c r="F15" s="3" t="s">
        <v>24</v>
      </c>
      <c r="G15" s="3"/>
      <c r="H15" s="6" t="s">
        <v>30</v>
      </c>
      <c r="I15" s="3"/>
      <c r="J15" s="2" t="s">
        <v>54</v>
      </c>
      <c r="K15" s="2" t="s">
        <v>55</v>
      </c>
      <c r="L15" s="5">
        <v>2488.9209999999998</v>
      </c>
      <c r="M15" s="9"/>
      <c r="N15" s="3">
        <v>2023</v>
      </c>
      <c r="O15" s="4">
        <v>9</v>
      </c>
      <c r="P15" s="3">
        <v>18</v>
      </c>
      <c r="Q15" s="8">
        <v>7000000</v>
      </c>
      <c r="R15" s="5">
        <f t="shared" si="1"/>
        <v>943310000</v>
      </c>
      <c r="S15" s="5">
        <f t="shared" si="0"/>
        <v>950310000</v>
      </c>
    </row>
    <row r="16" spans="1:19">
      <c r="A16" s="2" t="s">
        <v>33</v>
      </c>
      <c r="B16" s="2" t="s">
        <v>34</v>
      </c>
      <c r="C16" s="2" t="s">
        <v>41</v>
      </c>
      <c r="D16" s="2" t="s">
        <v>42</v>
      </c>
      <c r="E16" s="2" t="s">
        <v>43</v>
      </c>
      <c r="F16" s="3" t="s">
        <v>24</v>
      </c>
      <c r="G16" s="3"/>
      <c r="H16" s="6" t="s">
        <v>30</v>
      </c>
      <c r="I16" s="3"/>
      <c r="J16" s="2" t="s">
        <v>39</v>
      </c>
      <c r="K16" s="2" t="s">
        <v>40</v>
      </c>
      <c r="L16" s="5">
        <v>21449.920999999998</v>
      </c>
      <c r="M16" s="9"/>
      <c r="N16" s="3">
        <v>2023</v>
      </c>
      <c r="O16" s="3">
        <v>10</v>
      </c>
      <c r="P16" s="3">
        <v>25</v>
      </c>
      <c r="Q16" s="11">
        <v>12000000</v>
      </c>
      <c r="R16" s="5">
        <f t="shared" si="1"/>
        <v>950310000</v>
      </c>
      <c r="S16" s="5">
        <f t="shared" si="0"/>
        <v>962310000</v>
      </c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nshuti gloriose</dc:creator>
  <cp:lastModifiedBy>nshuti gloriose</cp:lastModifiedBy>
  <dcterms:created xsi:type="dcterms:W3CDTF">2026-07-03T12:33:04Z</dcterms:created>
  <dcterms:modified xsi:type="dcterms:W3CDTF">2026-07-03T12:34:06Z</dcterms:modified>
</cp:coreProperties>
</file>