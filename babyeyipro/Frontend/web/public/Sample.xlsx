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CF04B09-870A-4C36-830E-F1A30706812D}" xr6:coauthVersionLast="45" xr6:coauthVersionMax="45" xr10:uidLastSave="{00000000-0000-0000-0000-000000000000}"/>
  <bookViews>
    <workbookView xWindow="-120" yWindow="-120" windowWidth="29040" windowHeight="15720" xr2:uid="{34BDDD2D-8ABE-413A-B278-57F3810CC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3" i="1" l="1"/>
  <c r="W12" i="1"/>
  <c r="V12" i="1"/>
  <c r="X12" i="1" s="1"/>
  <c r="R12" i="1"/>
  <c r="N12" i="1"/>
  <c r="M12" i="1"/>
  <c r="S12" i="1" s="1"/>
  <c r="U12" i="1" s="1"/>
  <c r="L12" i="1"/>
  <c r="R11" i="1"/>
  <c r="N11" i="1"/>
  <c r="L11" i="1"/>
  <c r="J11" i="1"/>
  <c r="I11" i="1"/>
  <c r="H11" i="1"/>
  <c r="F11" i="1"/>
  <c r="R10" i="1"/>
  <c r="N10" i="1"/>
  <c r="L10" i="1"/>
  <c r="J10" i="1"/>
  <c r="M10" i="1" s="1"/>
  <c r="I10" i="1"/>
  <c r="H10" i="1"/>
  <c r="G10" i="1" s="1"/>
  <c r="F10" i="1"/>
  <c r="W10" i="1" s="1"/>
  <c r="W9" i="1"/>
  <c r="V9" i="1"/>
  <c r="R9" i="1"/>
  <c r="N9" i="1"/>
  <c r="L9" i="1"/>
  <c r="J9" i="1"/>
  <c r="M9" i="1" s="1"/>
  <c r="I9" i="1"/>
  <c r="H9" i="1"/>
  <c r="F9" i="1"/>
  <c r="R8" i="1"/>
  <c r="N8" i="1"/>
  <c r="L8" i="1"/>
  <c r="J8" i="1"/>
  <c r="M8" i="1" s="1"/>
  <c r="I8" i="1"/>
  <c r="H8" i="1"/>
  <c r="G8" i="1" s="1"/>
  <c r="F8" i="1"/>
  <c r="R7" i="1"/>
  <c r="N7" i="1"/>
  <c r="L7" i="1"/>
  <c r="J7" i="1"/>
  <c r="M7" i="1" s="1"/>
  <c r="S7" i="1" s="1"/>
  <c r="I7" i="1"/>
  <c r="H7" i="1"/>
  <c r="G7" i="1"/>
  <c r="F7" i="1"/>
  <c r="W7" i="1" s="1"/>
  <c r="V6" i="1"/>
  <c r="R6" i="1"/>
  <c r="N6" i="1"/>
  <c r="L6" i="1"/>
  <c r="J6" i="1"/>
  <c r="M6" i="1" s="1"/>
  <c r="O6" i="1" s="1"/>
  <c r="I6" i="1"/>
  <c r="H6" i="1"/>
  <c r="G6" i="1"/>
  <c r="F6" i="1"/>
  <c r="W6" i="1" s="1"/>
  <c r="G11" i="1" l="1"/>
  <c r="G13" i="1" s="1"/>
  <c r="Y12" i="1"/>
  <c r="AA12" i="1" s="1"/>
  <c r="G9" i="1"/>
  <c r="V7" i="1"/>
  <c r="X7" i="1" s="1"/>
  <c r="P8" i="1"/>
  <c r="S8" i="1"/>
  <c r="O8" i="1"/>
  <c r="O10" i="1"/>
  <c r="S10" i="1"/>
  <c r="U10" i="1" s="1"/>
  <c r="P10" i="1"/>
  <c r="T8" i="1"/>
  <c r="T7" i="1"/>
  <c r="L13" i="1"/>
  <c r="Y6" i="1"/>
  <c r="V11" i="1"/>
  <c r="W11" i="1"/>
  <c r="U8" i="1"/>
  <c r="M11" i="1"/>
  <c r="S9" i="1"/>
  <c r="P9" i="1"/>
  <c r="O9" i="1"/>
  <c r="Q9" i="1" s="1"/>
  <c r="Y8" i="1"/>
  <c r="X9" i="1"/>
  <c r="H13" i="1"/>
  <c r="V10" i="1"/>
  <c r="X10" i="1" s="1"/>
  <c r="U7" i="1"/>
  <c r="W8" i="1"/>
  <c r="V8" i="1"/>
  <c r="X6" i="1"/>
  <c r="I13" i="1"/>
  <c r="O7" i="1"/>
  <c r="J13" i="1"/>
  <c r="P7" i="1"/>
  <c r="M13" i="1"/>
  <c r="S6" i="1"/>
  <c r="P6" i="1"/>
  <c r="Q6" i="1" s="1"/>
  <c r="Q10" i="1"/>
  <c r="N13" i="1"/>
  <c r="T12" i="1"/>
  <c r="R13" i="1"/>
  <c r="F13" i="1"/>
  <c r="AB12" i="1" l="1"/>
  <c r="Z12" i="1"/>
  <c r="Q8" i="1"/>
  <c r="W13" i="1"/>
  <c r="T10" i="1"/>
  <c r="X8" i="1"/>
  <c r="V13" i="1"/>
  <c r="T9" i="1"/>
  <c r="U9" i="1"/>
  <c r="X11" i="1"/>
  <c r="X13" i="1" s="1"/>
  <c r="Y9" i="1"/>
  <c r="Q7" i="1"/>
  <c r="AA8" i="1"/>
  <c r="AB8" i="1" s="1"/>
  <c r="Z8" i="1"/>
  <c r="Z6" i="1"/>
  <c r="AA6" i="1"/>
  <c r="AB6" i="1" s="1"/>
  <c r="U6" i="1"/>
  <c r="T6" i="1"/>
  <c r="P11" i="1"/>
  <c r="P13" i="1" s="1"/>
  <c r="S11" i="1"/>
  <c r="O11" i="1"/>
  <c r="Y7" i="1"/>
  <c r="Y10" i="1"/>
  <c r="U11" i="1" l="1"/>
  <c r="T11" i="1"/>
  <c r="U13" i="1"/>
  <c r="T13" i="1"/>
  <c r="AA7" i="1"/>
  <c r="AB7" i="1" s="1"/>
  <c r="Z7" i="1"/>
  <c r="Q11" i="1"/>
  <c r="Q13" i="1" s="1"/>
  <c r="Y11" i="1"/>
  <c r="Y13" i="1" s="1"/>
  <c r="S13" i="1"/>
  <c r="AA10" i="1"/>
  <c r="AB10" i="1"/>
  <c r="Z10" i="1"/>
  <c r="O13" i="1"/>
  <c r="AA9" i="1"/>
  <c r="Z9" i="1"/>
  <c r="AB9" i="1"/>
  <c r="AA11" i="1" l="1"/>
  <c r="AA13" i="1" s="1"/>
  <c r="Z11" i="1"/>
  <c r="Z13" i="1" s="1"/>
  <c r="AB11" i="1" l="1"/>
  <c r="AB13" i="1" s="1"/>
</calcChain>
</file>

<file path=xl/sharedStrings.xml><?xml version="1.0" encoding="utf-8"?>
<sst xmlns="http://schemas.openxmlformats.org/spreadsheetml/2006/main" count="66" uniqueCount="55">
  <si>
    <t>KIGALI PARENTS'SCHOOL</t>
  </si>
  <si>
    <t>PAYROLL FOR MAY 2026</t>
  </si>
  <si>
    <t>RSSB NUMBER(RAMA)</t>
  </si>
  <si>
    <t>ID</t>
  </si>
  <si>
    <t>FIRST NAME</t>
  </si>
  <si>
    <t>FAMILY NAME</t>
  </si>
  <si>
    <t>SEX</t>
  </si>
  <si>
    <t>BASIC SL</t>
  </si>
  <si>
    <t>Totals ALLOWANCES</t>
  </si>
  <si>
    <t>Others</t>
  </si>
  <si>
    <t>H/A</t>
  </si>
  <si>
    <t>T/A</t>
  </si>
  <si>
    <t>GROSS</t>
  </si>
  <si>
    <t>PAYE</t>
  </si>
  <si>
    <t>BASE</t>
  </si>
  <si>
    <t>CSR 6%</t>
  </si>
  <si>
    <t>M.LEAVE 0.3%</t>
  </si>
  <si>
    <t>TOT MLD</t>
  </si>
  <si>
    <t>CSR 2%</t>
  </si>
  <si>
    <t>CSR 8%</t>
  </si>
  <si>
    <t>TOTAL CSR14%</t>
  </si>
  <si>
    <t>RAMA 7.5%</t>
  </si>
  <si>
    <t>TOTAL RAMA</t>
  </si>
  <si>
    <t>NET PAY</t>
  </si>
  <si>
    <t>MUTUEL</t>
  </si>
  <si>
    <t>10215340</t>
  </si>
  <si>
    <t>1197570011937388</t>
  </si>
  <si>
    <t>ABERA</t>
  </si>
  <si>
    <t>VALLY</t>
  </si>
  <si>
    <t>F</t>
  </si>
  <si>
    <t>19983446K</t>
  </si>
  <si>
    <t>CM84101104ZD7F</t>
  </si>
  <si>
    <t>AGABA</t>
  </si>
  <si>
    <t>ALBERT</t>
  </si>
  <si>
    <t>M</t>
  </si>
  <si>
    <t>20059935Y</t>
  </si>
  <si>
    <t>1198780179442240</t>
  </si>
  <si>
    <t xml:space="preserve">AGABA </t>
  </si>
  <si>
    <t>EBONNY</t>
  </si>
  <si>
    <t>20600265Z</t>
  </si>
  <si>
    <t>002492938</t>
  </si>
  <si>
    <t>AGNES</t>
  </si>
  <si>
    <t>AKOYOLOT</t>
  </si>
  <si>
    <t>10398164F</t>
  </si>
  <si>
    <t>1198070159892031</t>
  </si>
  <si>
    <t>BABIRYE</t>
  </si>
  <si>
    <t>10197509</t>
  </si>
  <si>
    <t>1197470034948148</t>
  </si>
  <si>
    <t>Alvera</t>
  </si>
  <si>
    <t>MUKANTWALI</t>
  </si>
  <si>
    <t>20792689D</t>
  </si>
  <si>
    <t>CM74009106TQJL</t>
  </si>
  <si>
    <t>TURYATEMBA</t>
  </si>
  <si>
    <t>ROGERS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</si>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</sst>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2"/>
      <color rgb="FFFF0000"/>
      <name val="Times New Roman"/>
      <family val="1"/>
    </font>
    <font>
      <sz val="12"/>
      <color rgb="FF65656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7" fillId="0" borderId="0"/>
    <xf numFmtId="0" fontId="8" fillId="0" borderId="0"/>
    <xf numFmtId="0" fontId="7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43" fontId="5" fillId="2" borderId="1" xfId="1" applyFont="1" applyFill="1" applyBorder="1" applyAlignment="1">
      <alignment wrapText="1"/>
    </xf>
    <xf numFmtId="43" fontId="4" fillId="2" borderId="1" xfId="1" applyFont="1" applyFill="1" applyBorder="1" applyAlignment="1">
      <alignment wrapText="1"/>
    </xf>
    <xf numFmtId="164" fontId="5" fillId="2" borderId="1" xfId="1" applyNumberFormat="1" applyFont="1" applyFill="1" applyBorder="1" applyAlignment="1">
      <alignment wrapText="1"/>
    </xf>
    <xf numFmtId="0" fontId="4" fillId="0" borderId="0" xfId="0" applyFont="1" applyAlignment="1">
      <alignment wrapText="1"/>
    </xf>
    <xf numFmtId="49" fontId="6" fillId="0" borderId="1" xfId="2" applyNumberFormat="1" applyFont="1" applyBorder="1" applyAlignment="1" applyProtection="1">
      <alignment wrapText="1"/>
      <protection locked="0"/>
    </xf>
    <xf numFmtId="49" fontId="6" fillId="0" borderId="1" xfId="3" applyNumberFormat="1" applyFont="1" applyBorder="1" applyAlignment="1" applyProtection="1">
      <alignment wrapText="1"/>
      <protection locked="0"/>
    </xf>
    <xf numFmtId="0" fontId="6" fillId="0" borderId="1" xfId="2" applyFont="1" applyBorder="1" applyAlignment="1" applyProtection="1">
      <alignment wrapText="1"/>
      <protection locked="0"/>
    </xf>
    <xf numFmtId="0" fontId="6" fillId="0" borderId="1" xfId="0" applyFont="1" applyBorder="1" applyAlignment="1" applyProtection="1">
      <alignment wrapText="1"/>
      <protection locked="0"/>
    </xf>
    <xf numFmtId="165" fontId="6" fillId="0" borderId="1" xfId="1" applyNumberFormat="1" applyFont="1" applyFill="1" applyBorder="1" applyAlignment="1" applyProtection="1">
      <alignment wrapText="1"/>
      <protection locked="0"/>
    </xf>
    <xf numFmtId="164" fontId="6" fillId="0" borderId="1" xfId="2" applyNumberFormat="1" applyFont="1" applyBorder="1" applyAlignment="1" applyProtection="1">
      <alignment wrapText="1"/>
      <protection locked="0"/>
    </xf>
    <xf numFmtId="164" fontId="6" fillId="0" borderId="1" xfId="1" applyNumberFormat="1" applyFont="1" applyFill="1" applyBorder="1" applyAlignment="1">
      <alignment wrapText="1"/>
    </xf>
    <xf numFmtId="0" fontId="6" fillId="0" borderId="0" xfId="0" applyFont="1" applyAlignment="1">
      <alignment wrapText="1"/>
    </xf>
    <xf numFmtId="49" fontId="9" fillId="0" borderId="1" xfId="2" applyNumberFormat="1" applyFont="1" applyBorder="1" applyAlignment="1" applyProtection="1">
      <alignment wrapText="1"/>
      <protection locked="0"/>
    </xf>
    <xf numFmtId="49" fontId="9" fillId="0" borderId="1" xfId="3" applyNumberFormat="1" applyFont="1" applyBorder="1" applyAlignment="1" applyProtection="1">
      <alignment wrapText="1"/>
      <protection locked="0"/>
    </xf>
    <xf numFmtId="0" fontId="9" fillId="0" borderId="1" xfId="2" applyFont="1" applyBorder="1" applyAlignment="1" applyProtection="1">
      <alignment wrapText="1"/>
      <protection locked="0"/>
    </xf>
    <xf numFmtId="0" fontId="9" fillId="0" borderId="1" xfId="0" applyFont="1" applyBorder="1" applyAlignment="1" applyProtection="1">
      <alignment wrapText="1"/>
      <protection locked="0"/>
    </xf>
    <xf numFmtId="165" fontId="9" fillId="0" borderId="1" xfId="1" applyNumberFormat="1" applyFont="1" applyFill="1" applyBorder="1" applyAlignment="1" applyProtection="1">
      <alignment wrapText="1"/>
      <protection locked="0"/>
    </xf>
    <xf numFmtId="164" fontId="9" fillId="0" borderId="1" xfId="2" applyNumberFormat="1" applyFont="1" applyBorder="1" applyAlignment="1" applyProtection="1">
      <alignment wrapText="1"/>
      <protection locked="0"/>
    </xf>
    <xf numFmtId="164" fontId="9" fillId="0" borderId="1" xfId="1" applyNumberFormat="1" applyFont="1" applyFill="1" applyBorder="1" applyAlignment="1">
      <alignment wrapText="1"/>
    </xf>
    <xf numFmtId="0" fontId="9" fillId="0" borderId="0" xfId="0" applyFont="1" applyAlignment="1">
      <alignment wrapText="1"/>
    </xf>
    <xf numFmtId="49" fontId="4" fillId="3" borderId="1" xfId="2" applyNumberFormat="1" applyFont="1" applyFill="1" applyBorder="1" applyAlignment="1" applyProtection="1">
      <alignment wrapText="1"/>
      <protection locked="0"/>
    </xf>
    <xf numFmtId="1" fontId="4" fillId="3" borderId="1" xfId="3" applyNumberFormat="1" applyFont="1" applyFill="1" applyBorder="1" applyAlignment="1" applyProtection="1">
      <alignment wrapText="1"/>
      <protection locked="0"/>
    </xf>
    <xf numFmtId="0" fontId="4" fillId="3" borderId="1" xfId="2" applyFont="1" applyFill="1" applyBorder="1" applyAlignment="1" applyProtection="1">
      <alignment wrapText="1"/>
      <protection locked="0"/>
    </xf>
    <xf numFmtId="164" fontId="4" fillId="3" borderId="1" xfId="1" applyNumberFormat="1" applyFont="1" applyFill="1" applyBorder="1" applyAlignment="1">
      <alignment wrapText="1"/>
    </xf>
    <xf numFmtId="164" fontId="3" fillId="0" borderId="0" xfId="0" applyNumberFormat="1" applyFont="1" applyAlignment="1">
      <alignment wrapText="1"/>
    </xf>
    <xf numFmtId="165" fontId="3" fillId="0" borderId="0" xfId="1" applyNumberFormat="1" applyFont="1" applyAlignment="1">
      <alignment wrapText="1"/>
    </xf>
    <xf numFmtId="165" fontId="3" fillId="0" borderId="0" xfId="0" applyNumberFormat="1" applyFont="1" applyAlignment="1">
      <alignment wrapText="1"/>
    </xf>
    <xf numFmtId="0" fontId="10" fillId="0" borderId="0" xfId="0" applyFont="1" applyAlignment="1">
      <alignment wrapText="1"/>
    </xf>
    <xf numFmtId="43" fontId="3" fillId="0" borderId="0" xfId="1" applyFont="1" applyAlignment="1">
      <alignment wrapText="1"/>
    </xf>
  </cellXfs>
  <cellStyles count="6">
    <cellStyle name="Comma" xfId="1" builtinId="3"/>
    <cellStyle name="Normal" xfId="0" builtinId="0"/>
    <cellStyle name="Normal 10" xfId="4" xr:uid="{6D2DCDF8-19CC-4601-A77A-7778D5E3CCA0}"/>
    <cellStyle name="Normal 12" xfId="5" xr:uid="{203DCF4E-F486-4DE9-909B-79C96A9E8A6C}"/>
    <cellStyle name="Normal 8" xfId="2" xr:uid="{F67CE249-E43D-4992-9194-0EAFE08F61DE}"/>
    <cellStyle name="Normal_Sheet1" xfId="3" xr:uid="{C409659C-8974-4198-8248-7ADAA21970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6830-ED4D-4219-9BBD-5F4D14F74198}">
  <dimension ref="A2:AB20"/>
  <sheetViews>
    <sheetView tabSelected="1" workbookViewId="0">
      <selection activeCell="F24" sqref="F24"/>
    </sheetView>
  </sheetViews>
  <sheetFormatPr defaultColWidth="20.85546875" defaultRowHeight="15.75" x14ac:dyDescent="0.25"/>
  <cols>
    <col min="1" max="1" width="20.85546875" style="2"/>
    <col min="2" max="2" width="22.7109375" style="2" customWidth="1"/>
    <col min="3" max="3" width="25.7109375" style="2" customWidth="1"/>
    <col min="4" max="4" width="20.85546875" style="2"/>
    <col min="5" max="5" width="14.140625" style="2" customWidth="1"/>
    <col min="6" max="16384" width="20.85546875" style="2"/>
  </cols>
  <sheetData>
    <row r="2" spans="1:28" x14ac:dyDescent="0.25">
      <c r="A2" s="1" t="s">
        <v>0</v>
      </c>
    </row>
    <row r="3" spans="1:28" x14ac:dyDescent="0.25">
      <c r="A3" s="1" t="s">
        <v>1</v>
      </c>
    </row>
    <row r="5" spans="1:28" s="8" customFormat="1" ht="38.25" customHeight="1" x14ac:dyDescent="0.25">
      <c r="A5" s="3" t="s">
        <v>2</v>
      </c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6" t="s">
        <v>12</v>
      </c>
      <c r="L5" s="5" t="s">
        <v>13</v>
      </c>
      <c r="M5" s="5" t="s">
        <v>14</v>
      </c>
      <c r="N5" s="7" t="s">
        <v>15</v>
      </c>
      <c r="O5" s="7" t="s">
        <v>16</v>
      </c>
      <c r="P5" s="7" t="s">
        <v>16</v>
      </c>
      <c r="Q5" s="7" t="s">
        <v>17</v>
      </c>
      <c r="R5" s="7" t="s">
        <v>15</v>
      </c>
      <c r="S5" s="7" t="s">
        <v>18</v>
      </c>
      <c r="T5" s="7" t="s">
        <v>19</v>
      </c>
      <c r="U5" s="7" t="s">
        <v>20</v>
      </c>
      <c r="V5" s="7" t="s">
        <v>21</v>
      </c>
      <c r="W5" s="7" t="s">
        <v>21</v>
      </c>
      <c r="X5" s="7" t="s">
        <v>22</v>
      </c>
      <c r="Y5" s="7" t="s">
        <v>23</v>
      </c>
      <c r="Z5" s="7" t="s">
        <v>23</v>
      </c>
      <c r="AA5" s="5" t="s">
        <v>24</v>
      </c>
      <c r="AB5" s="5" t="s">
        <v>23</v>
      </c>
    </row>
    <row r="6" spans="1:28" s="16" customFormat="1" ht="12.75" customHeight="1" x14ac:dyDescent="0.25">
      <c r="A6" s="9" t="s">
        <v>25</v>
      </c>
      <c r="B6" s="10" t="s">
        <v>26</v>
      </c>
      <c r="C6" s="11" t="s">
        <v>27</v>
      </c>
      <c r="D6" s="11" t="s">
        <v>28</v>
      </c>
      <c r="E6" s="12" t="s">
        <v>29</v>
      </c>
      <c r="F6" s="13">
        <f t="shared" ref="F6:F11" si="0">K6*70/100</f>
        <v>549418.60465116275</v>
      </c>
      <c r="G6" s="13">
        <f t="shared" ref="G6:G11" si="1">H6+I6+J6</f>
        <v>235465.11627906974</v>
      </c>
      <c r="H6" s="13">
        <f t="shared" ref="H6:H11" si="2">K6*10/100</f>
        <v>78488.372093023252</v>
      </c>
      <c r="I6" s="13">
        <f t="shared" ref="I6:I11" si="3">K6*10/100</f>
        <v>78488.372093023252</v>
      </c>
      <c r="J6" s="13">
        <f t="shared" ref="J6:J11" si="4">K6*10/100</f>
        <v>78488.372093023252</v>
      </c>
      <c r="K6" s="14">
        <v>784883.72093023255</v>
      </c>
      <c r="L6" s="15">
        <f t="shared" ref="L6:L11" si="5">IF(K6&gt;200000,(K6-200000)*0.3+24000,(IF(K6&gt;100000,(K6-100000)*0.2+4000,(IF(K6&gt;60000,(K6-60000)*0.1,0)))))</f>
        <v>199465.11627906977</v>
      </c>
      <c r="M6" s="15">
        <f>K6-J6</f>
        <v>706395.34883720928</v>
      </c>
      <c r="N6" s="15">
        <f t="shared" ref="N6:N11" si="6">K6*6%</f>
        <v>47093.023255813954</v>
      </c>
      <c r="O6" s="15">
        <f t="shared" ref="O6:O11" si="7">M6*0.3%</f>
        <v>2119.1860465116279</v>
      </c>
      <c r="P6" s="15">
        <f t="shared" ref="P6:P11" si="8">M6*0.3%</f>
        <v>2119.1860465116279</v>
      </c>
      <c r="Q6" s="15">
        <f t="shared" ref="Q6:Q11" si="9">O6+P6</f>
        <v>4238.3720930232557</v>
      </c>
      <c r="R6" s="15">
        <f t="shared" ref="R6:R11" si="10">K6*6%</f>
        <v>47093.023255813954</v>
      </c>
      <c r="S6" s="15">
        <f t="shared" ref="S6:S11" si="11">M6*2%</f>
        <v>14127.906976744185</v>
      </c>
      <c r="T6" s="15">
        <f t="shared" ref="T6:T11" si="12">R6+S6</f>
        <v>61220.930232558138</v>
      </c>
      <c r="U6" s="15">
        <f t="shared" ref="U6:U11" si="13">S6+R6+N6</f>
        <v>108313.95348837209</v>
      </c>
      <c r="V6" s="15">
        <f t="shared" ref="V6:V11" si="14">F6*7.5%</f>
        <v>41206.395348837206</v>
      </c>
      <c r="W6" s="15">
        <f t="shared" ref="W6:W11" si="15">F6*7.5%</f>
        <v>41206.395348837206</v>
      </c>
      <c r="X6" s="15">
        <f t="shared" ref="X6:X11" si="16">V6+W6</f>
        <v>82412.790697674413</v>
      </c>
      <c r="Y6" s="15">
        <f t="shared" ref="Y6:Y11" si="17">K6-L6-N6-O6-V6</f>
        <v>494999.99999999994</v>
      </c>
      <c r="Z6" s="15">
        <f>Y6</f>
        <v>494999.99999999994</v>
      </c>
      <c r="AA6" s="15">
        <f t="shared" ref="AA6:AA11" si="18">Y6*0.5%</f>
        <v>2474.9999999999995</v>
      </c>
      <c r="AB6" s="15">
        <f t="shared" ref="AB6:AB11" si="19">Y6-AA6</f>
        <v>492524.99999999994</v>
      </c>
    </row>
    <row r="7" spans="1:28" s="16" customFormat="1" ht="12.75" customHeight="1" x14ac:dyDescent="0.25">
      <c r="A7" s="9" t="s">
        <v>30</v>
      </c>
      <c r="B7" s="10" t="s">
        <v>31</v>
      </c>
      <c r="C7" s="11" t="s">
        <v>32</v>
      </c>
      <c r="D7" s="11" t="s">
        <v>33</v>
      </c>
      <c r="E7" s="12" t="s">
        <v>34</v>
      </c>
      <c r="F7" s="13">
        <f t="shared" si="0"/>
        <v>549418.60465116275</v>
      </c>
      <c r="G7" s="13">
        <f t="shared" si="1"/>
        <v>235465.11627906974</v>
      </c>
      <c r="H7" s="13">
        <f t="shared" si="2"/>
        <v>78488.372093023252</v>
      </c>
      <c r="I7" s="13">
        <f t="shared" si="3"/>
        <v>78488.372093023252</v>
      </c>
      <c r="J7" s="13">
        <f t="shared" si="4"/>
        <v>78488.372093023252</v>
      </c>
      <c r="K7" s="14">
        <v>784883.72093023255</v>
      </c>
      <c r="L7" s="15">
        <f t="shared" si="5"/>
        <v>199465.11627906977</v>
      </c>
      <c r="M7" s="15">
        <f t="shared" ref="M7:M11" si="20">K7-J7</f>
        <v>706395.34883720928</v>
      </c>
      <c r="N7" s="15">
        <f t="shared" si="6"/>
        <v>47093.023255813954</v>
      </c>
      <c r="O7" s="15">
        <f t="shared" si="7"/>
        <v>2119.1860465116279</v>
      </c>
      <c r="P7" s="15">
        <f t="shared" si="8"/>
        <v>2119.1860465116279</v>
      </c>
      <c r="Q7" s="15">
        <f t="shared" si="9"/>
        <v>4238.3720930232557</v>
      </c>
      <c r="R7" s="15">
        <f t="shared" si="10"/>
        <v>47093.023255813954</v>
      </c>
      <c r="S7" s="15">
        <f t="shared" si="11"/>
        <v>14127.906976744185</v>
      </c>
      <c r="T7" s="15">
        <f t="shared" si="12"/>
        <v>61220.930232558138</v>
      </c>
      <c r="U7" s="15">
        <f t="shared" si="13"/>
        <v>108313.95348837209</v>
      </c>
      <c r="V7" s="15">
        <f t="shared" si="14"/>
        <v>41206.395348837206</v>
      </c>
      <c r="W7" s="15">
        <f t="shared" si="15"/>
        <v>41206.395348837206</v>
      </c>
      <c r="X7" s="15">
        <f t="shared" si="16"/>
        <v>82412.790697674413</v>
      </c>
      <c r="Y7" s="15">
        <f t="shared" si="17"/>
        <v>494999.99999999994</v>
      </c>
      <c r="Z7" s="15">
        <f t="shared" ref="Z7:Z11" si="21">Y7</f>
        <v>494999.99999999994</v>
      </c>
      <c r="AA7" s="15">
        <f t="shared" si="18"/>
        <v>2474.9999999999995</v>
      </c>
      <c r="AB7" s="15">
        <f t="shared" si="19"/>
        <v>492524.99999999994</v>
      </c>
    </row>
    <row r="8" spans="1:28" s="16" customFormat="1" ht="12.75" customHeight="1" x14ac:dyDescent="0.25">
      <c r="A8" s="9" t="s">
        <v>35</v>
      </c>
      <c r="B8" s="10" t="s">
        <v>36</v>
      </c>
      <c r="C8" s="11" t="s">
        <v>37</v>
      </c>
      <c r="D8" s="11" t="s">
        <v>38</v>
      </c>
      <c r="E8" s="12" t="s">
        <v>34</v>
      </c>
      <c r="F8" s="13">
        <f>K8*70/100</f>
        <v>639192.88645690866</v>
      </c>
      <c r="G8" s="13">
        <f t="shared" si="1"/>
        <v>273939.80848153227</v>
      </c>
      <c r="H8" s="13">
        <f>K8*10/100</f>
        <v>91313.269493844098</v>
      </c>
      <c r="I8" s="13">
        <f>K8*10/100</f>
        <v>91313.269493844098</v>
      </c>
      <c r="J8" s="13">
        <f>K8*10/100</f>
        <v>91313.269493844098</v>
      </c>
      <c r="K8" s="14">
        <v>913132.69493844092</v>
      </c>
      <c r="L8" s="15">
        <f>IF(K8&gt;200000,(K8-200000)*0.3+24000,(IF(K8&gt;100000,(K8-100000)*0.2+4000,(IF(K8&gt;60000,(K8-60000)*0.1,0)))))</f>
        <v>237939.80848153227</v>
      </c>
      <c r="M8" s="15">
        <f>K8-J8</f>
        <v>821819.4254445968</v>
      </c>
      <c r="N8" s="15">
        <f>K8*6%</f>
        <v>54787.961696306455</v>
      </c>
      <c r="O8" s="15">
        <f t="shared" si="7"/>
        <v>2465.4582763337903</v>
      </c>
      <c r="P8" s="15">
        <f t="shared" si="8"/>
        <v>2465.4582763337903</v>
      </c>
      <c r="Q8" s="15">
        <f t="shared" si="9"/>
        <v>4930.9165526675806</v>
      </c>
      <c r="R8" s="15">
        <f>K8*6%</f>
        <v>54787.961696306455</v>
      </c>
      <c r="S8" s="15">
        <f t="shared" si="11"/>
        <v>16436.388508891938</v>
      </c>
      <c r="T8" s="15">
        <f t="shared" si="12"/>
        <v>71224.350205198396</v>
      </c>
      <c r="U8" s="15">
        <f t="shared" si="13"/>
        <v>126012.31190150484</v>
      </c>
      <c r="V8" s="15">
        <f t="shared" si="14"/>
        <v>47939.466484268145</v>
      </c>
      <c r="W8" s="15">
        <f t="shared" si="15"/>
        <v>47939.466484268145</v>
      </c>
      <c r="X8" s="15">
        <f t="shared" si="16"/>
        <v>95878.93296853629</v>
      </c>
      <c r="Y8" s="15">
        <f>K8-L8-N8-O8-V8</f>
        <v>570000.00000000023</v>
      </c>
      <c r="Z8" s="15">
        <f t="shared" si="21"/>
        <v>570000.00000000023</v>
      </c>
      <c r="AA8" s="15">
        <f t="shared" si="18"/>
        <v>2850.0000000000014</v>
      </c>
      <c r="AB8" s="15">
        <f t="shared" si="19"/>
        <v>567150.00000000023</v>
      </c>
    </row>
    <row r="9" spans="1:28" s="16" customFormat="1" ht="12.75" customHeight="1" x14ac:dyDescent="0.25">
      <c r="A9" s="9" t="s">
        <v>39</v>
      </c>
      <c r="B9" s="10" t="s">
        <v>40</v>
      </c>
      <c r="C9" s="11" t="s">
        <v>41</v>
      </c>
      <c r="D9" s="11" t="s">
        <v>42</v>
      </c>
      <c r="E9" s="12" t="s">
        <v>29</v>
      </c>
      <c r="F9" s="13">
        <f t="shared" si="0"/>
        <v>519493.84404924785</v>
      </c>
      <c r="G9" s="13">
        <f t="shared" si="1"/>
        <v>222640.21887824911</v>
      </c>
      <c r="H9" s="13">
        <f t="shared" si="2"/>
        <v>74213.4062927497</v>
      </c>
      <c r="I9" s="13">
        <f t="shared" si="3"/>
        <v>74213.4062927497</v>
      </c>
      <c r="J9" s="13">
        <f t="shared" si="4"/>
        <v>74213.4062927497</v>
      </c>
      <c r="K9" s="14">
        <v>742134.06292749697</v>
      </c>
      <c r="L9" s="15">
        <f t="shared" si="5"/>
        <v>186640.21887824908</v>
      </c>
      <c r="M9" s="15">
        <f t="shared" si="20"/>
        <v>667920.65663474728</v>
      </c>
      <c r="N9" s="15">
        <f t="shared" si="6"/>
        <v>44528.043775649814</v>
      </c>
      <c r="O9" s="15">
        <f t="shared" si="7"/>
        <v>2003.7619699042418</v>
      </c>
      <c r="P9" s="15">
        <f t="shared" si="8"/>
        <v>2003.7619699042418</v>
      </c>
      <c r="Q9" s="15">
        <f t="shared" si="9"/>
        <v>4007.5239398084836</v>
      </c>
      <c r="R9" s="15">
        <f t="shared" si="10"/>
        <v>44528.043775649814</v>
      </c>
      <c r="S9" s="15">
        <f t="shared" si="11"/>
        <v>13358.413132694946</v>
      </c>
      <c r="T9" s="15">
        <f t="shared" si="12"/>
        <v>57886.456908344757</v>
      </c>
      <c r="U9" s="15">
        <f t="shared" si="13"/>
        <v>102414.50068399457</v>
      </c>
      <c r="V9" s="15">
        <f t="shared" si="14"/>
        <v>38962.038303693589</v>
      </c>
      <c r="W9" s="15">
        <f t="shared" si="15"/>
        <v>38962.038303693589</v>
      </c>
      <c r="X9" s="15">
        <f t="shared" si="16"/>
        <v>77924.076607387178</v>
      </c>
      <c r="Y9" s="15">
        <f t="shared" si="17"/>
        <v>470000.00000000029</v>
      </c>
      <c r="Z9" s="15">
        <f t="shared" si="21"/>
        <v>470000.00000000029</v>
      </c>
      <c r="AA9" s="15">
        <f t="shared" si="18"/>
        <v>2350.0000000000014</v>
      </c>
      <c r="AB9" s="15">
        <f t="shared" si="19"/>
        <v>467650.00000000029</v>
      </c>
    </row>
    <row r="10" spans="1:28" s="16" customFormat="1" ht="12.75" customHeight="1" x14ac:dyDescent="0.25">
      <c r="A10" s="9" t="s">
        <v>43</v>
      </c>
      <c r="B10" s="10" t="s">
        <v>44</v>
      </c>
      <c r="C10" s="11" t="s">
        <v>41</v>
      </c>
      <c r="D10" s="11" t="s">
        <v>45</v>
      </c>
      <c r="E10" s="12" t="s">
        <v>29</v>
      </c>
      <c r="F10" s="13">
        <f t="shared" si="0"/>
        <v>450666.89466484217</v>
      </c>
      <c r="G10" s="13">
        <f t="shared" si="1"/>
        <v>193142.95485636091</v>
      </c>
      <c r="H10" s="13">
        <f t="shared" si="2"/>
        <v>64380.984952120307</v>
      </c>
      <c r="I10" s="13">
        <f t="shared" si="3"/>
        <v>64380.984952120307</v>
      </c>
      <c r="J10" s="13">
        <f t="shared" si="4"/>
        <v>64380.984952120307</v>
      </c>
      <c r="K10" s="14">
        <v>643809.84952120308</v>
      </c>
      <c r="L10" s="15">
        <f t="shared" si="5"/>
        <v>157142.95485636091</v>
      </c>
      <c r="M10" s="15">
        <f t="shared" si="20"/>
        <v>579428.86456908274</v>
      </c>
      <c r="N10" s="15">
        <f t="shared" si="6"/>
        <v>38628.590971272184</v>
      </c>
      <c r="O10" s="15">
        <f t="shared" si="7"/>
        <v>1738.2865937072484</v>
      </c>
      <c r="P10" s="15">
        <f t="shared" si="8"/>
        <v>1738.2865937072484</v>
      </c>
      <c r="Q10" s="15">
        <f t="shared" si="9"/>
        <v>3476.5731874144967</v>
      </c>
      <c r="R10" s="15">
        <f t="shared" si="10"/>
        <v>38628.590971272184</v>
      </c>
      <c r="S10" s="15">
        <f t="shared" si="11"/>
        <v>11588.577291381655</v>
      </c>
      <c r="T10" s="15">
        <f t="shared" si="12"/>
        <v>50217.168262653839</v>
      </c>
      <c r="U10" s="15">
        <f t="shared" si="13"/>
        <v>88845.759233926015</v>
      </c>
      <c r="V10" s="15">
        <f t="shared" si="14"/>
        <v>33800.017099863158</v>
      </c>
      <c r="W10" s="15">
        <f t="shared" si="15"/>
        <v>33800.017099863158</v>
      </c>
      <c r="X10" s="15">
        <f t="shared" si="16"/>
        <v>67600.034199726317</v>
      </c>
      <c r="Y10" s="15">
        <f t="shared" si="17"/>
        <v>412499.99999999959</v>
      </c>
      <c r="Z10" s="15">
        <f t="shared" si="21"/>
        <v>412499.99999999959</v>
      </c>
      <c r="AA10" s="15">
        <f t="shared" si="18"/>
        <v>2062.4999999999982</v>
      </c>
      <c r="AB10" s="15">
        <f t="shared" si="19"/>
        <v>410437.49999999959</v>
      </c>
    </row>
    <row r="11" spans="1:28" s="16" customFormat="1" ht="12.75" customHeight="1" x14ac:dyDescent="0.25">
      <c r="A11" s="9" t="s">
        <v>46</v>
      </c>
      <c r="B11" s="10" t="s">
        <v>47</v>
      </c>
      <c r="C11" s="11" t="s">
        <v>48</v>
      </c>
      <c r="D11" s="11" t="s">
        <v>49</v>
      </c>
      <c r="E11" s="12" t="s">
        <v>29</v>
      </c>
      <c r="F11" s="13">
        <f t="shared" si="0"/>
        <v>480292.40766073868</v>
      </c>
      <c r="G11" s="13">
        <f t="shared" si="1"/>
        <v>205839.60328317375</v>
      </c>
      <c r="H11" s="13">
        <f t="shared" si="2"/>
        <v>68613.201094391246</v>
      </c>
      <c r="I11" s="13">
        <f t="shared" si="3"/>
        <v>68613.201094391246</v>
      </c>
      <c r="J11" s="13">
        <f t="shared" si="4"/>
        <v>68613.201094391246</v>
      </c>
      <c r="K11" s="14">
        <v>686132.01094391244</v>
      </c>
      <c r="L11" s="15">
        <f t="shared" si="5"/>
        <v>169839.60328317372</v>
      </c>
      <c r="M11" s="15">
        <f t="shared" si="20"/>
        <v>617518.80984952115</v>
      </c>
      <c r="N11" s="15">
        <f t="shared" si="6"/>
        <v>41167.920656634742</v>
      </c>
      <c r="O11" s="15">
        <f t="shared" si="7"/>
        <v>1852.5564295485635</v>
      </c>
      <c r="P11" s="15">
        <f t="shared" si="8"/>
        <v>1852.5564295485635</v>
      </c>
      <c r="Q11" s="15">
        <f t="shared" si="9"/>
        <v>3705.1128590971271</v>
      </c>
      <c r="R11" s="15">
        <f t="shared" si="10"/>
        <v>41167.920656634742</v>
      </c>
      <c r="S11" s="15">
        <f t="shared" si="11"/>
        <v>12350.376196990423</v>
      </c>
      <c r="T11" s="15">
        <f t="shared" si="12"/>
        <v>53518.296853625165</v>
      </c>
      <c r="U11" s="15">
        <f t="shared" si="13"/>
        <v>94686.217510259914</v>
      </c>
      <c r="V11" s="15">
        <f t="shared" si="14"/>
        <v>36021.930574555401</v>
      </c>
      <c r="W11" s="15">
        <f t="shared" si="15"/>
        <v>36021.930574555401</v>
      </c>
      <c r="X11" s="15">
        <f t="shared" si="16"/>
        <v>72043.861149110802</v>
      </c>
      <c r="Y11" s="15">
        <f t="shared" si="17"/>
        <v>437250</v>
      </c>
      <c r="Z11" s="15">
        <f t="shared" si="21"/>
        <v>437250</v>
      </c>
      <c r="AA11" s="15">
        <f t="shared" si="18"/>
        <v>2186.25</v>
      </c>
      <c r="AB11" s="15">
        <f t="shared" si="19"/>
        <v>435063.75</v>
      </c>
    </row>
    <row r="12" spans="1:28" s="24" customFormat="1" ht="12.75" customHeight="1" x14ac:dyDescent="0.25">
      <c r="A12" s="17" t="s">
        <v>50</v>
      </c>
      <c r="B12" s="18" t="s">
        <v>51</v>
      </c>
      <c r="C12" s="18" t="s">
        <v>52</v>
      </c>
      <c r="D12" s="19" t="s">
        <v>53</v>
      </c>
      <c r="E12" s="20" t="s">
        <v>34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2">
        <v>724999.99999999837</v>
      </c>
      <c r="L12" s="23">
        <f t="shared" ref="L12" si="22">IF(K12&gt;200000,(K12-200000)*0.3+24000,(IF(K12&gt;100000,(K12-100000)*0.2+4000,(IF(K12&gt;60000,(K12-60000)*0.1,0)))))</f>
        <v>181499.99999999951</v>
      </c>
      <c r="M12" s="23">
        <f t="shared" ref="M12" si="23">K12-J12</f>
        <v>724999.99999999837</v>
      </c>
      <c r="N12" s="23">
        <f t="shared" ref="N12" si="24">K12*6%</f>
        <v>43499.999999999898</v>
      </c>
      <c r="O12" s="23">
        <v>0</v>
      </c>
      <c r="P12" s="23">
        <v>0</v>
      </c>
      <c r="Q12" s="23">
        <v>0</v>
      </c>
      <c r="R12" s="23">
        <f t="shared" ref="R12" si="25">K12*6%</f>
        <v>43499.999999999898</v>
      </c>
      <c r="S12" s="23">
        <f t="shared" ref="S12" si="26">M12*2%</f>
        <v>14499.999999999967</v>
      </c>
      <c r="T12" s="23">
        <f t="shared" ref="T12" si="27">R12+S12</f>
        <v>57999.999999999869</v>
      </c>
      <c r="U12" s="23">
        <f t="shared" ref="U12" si="28">S12+R12+N12</f>
        <v>101499.99999999977</v>
      </c>
      <c r="V12" s="23">
        <f t="shared" ref="V12" si="29">F12*7.5%</f>
        <v>0</v>
      </c>
      <c r="W12" s="23">
        <f t="shared" ref="W12" si="30">F12*7.5%</f>
        <v>0</v>
      </c>
      <c r="X12" s="23">
        <f t="shared" ref="X12" si="31">V12+W12</f>
        <v>0</v>
      </c>
      <c r="Y12" s="23">
        <f t="shared" ref="Y12" si="32">K12-L12-N12-O12-V12</f>
        <v>499999.99999999895</v>
      </c>
      <c r="Z12" s="23">
        <f t="shared" ref="Z12" si="33">Y12</f>
        <v>499999.99999999895</v>
      </c>
      <c r="AA12" s="23">
        <f t="shared" ref="AA12" si="34">Y12*0.5%</f>
        <v>2499.999999999995</v>
      </c>
      <c r="AB12" s="23">
        <f t="shared" ref="AB12" si="35">Y12-AA12</f>
        <v>497499.99999999895</v>
      </c>
    </row>
    <row r="13" spans="1:28" x14ac:dyDescent="0.25">
      <c r="A13" s="25"/>
      <c r="B13" s="26" t="s">
        <v>54</v>
      </c>
      <c r="C13" s="27"/>
      <c r="D13" s="27"/>
      <c r="E13" s="28"/>
      <c r="F13" s="28">
        <f>SUM(F6:F12)</f>
        <v>3188483.2421340626</v>
      </c>
      <c r="G13" s="28">
        <f>SUM(G6:G12)</f>
        <v>1366492.8180574556</v>
      </c>
      <c r="H13" s="28">
        <f>SUM(H6:H12)</f>
        <v>455497.6060191518</v>
      </c>
      <c r="I13" s="28">
        <f>SUM(I6:I12)</f>
        <v>455497.6060191518</v>
      </c>
      <c r="J13" s="28">
        <f>SUM(J6:J12)</f>
        <v>455497.6060191518</v>
      </c>
      <c r="K13" s="28">
        <f>SUM(K6:K12)</f>
        <v>5279976.0601915168</v>
      </c>
      <c r="L13" s="28">
        <f>SUM(L6:L12)</f>
        <v>1331992.8180574549</v>
      </c>
      <c r="M13" s="28">
        <f>SUM(M6:M12)</f>
        <v>4824478.4541723644</v>
      </c>
      <c r="N13" s="28">
        <f>SUM(N6:N12)</f>
        <v>316798.563611491</v>
      </c>
      <c r="O13" s="28">
        <f>SUM(O6:O12)</f>
        <v>12298.435362517099</v>
      </c>
      <c r="P13" s="28">
        <f>SUM(P6:P12)</f>
        <v>12298.435362517099</v>
      </c>
      <c r="Q13" s="28">
        <f>SUM(Q6:Q12)</f>
        <v>24596.870725034198</v>
      </c>
      <c r="R13" s="28">
        <f>SUM(R6:R12)</f>
        <v>316798.563611491</v>
      </c>
      <c r="S13" s="28">
        <f>SUM(S6:S12)</f>
        <v>96489.569083447306</v>
      </c>
      <c r="T13" s="28">
        <f>SUM(T6:T12)</f>
        <v>413288.13269493828</v>
      </c>
      <c r="U13" s="28">
        <f>SUM(U6:U12)</f>
        <v>730086.69630642934</v>
      </c>
      <c r="V13" s="28">
        <f>SUM(V6:V12)</f>
        <v>239136.24316005467</v>
      </c>
      <c r="W13" s="28">
        <f>SUM(W6:W12)</f>
        <v>239136.24316005467</v>
      </c>
      <c r="X13" s="28">
        <f>SUM(X6:X12)</f>
        <v>478272.48632010934</v>
      </c>
      <c r="Y13" s="28">
        <f>SUM(Y6:Y12)</f>
        <v>3379749.9999999991</v>
      </c>
      <c r="Z13" s="28">
        <f>SUM(Z6:Z12)</f>
        <v>3379749.9999999991</v>
      </c>
      <c r="AA13" s="28">
        <f>SUM(AA6:AA12)</f>
        <v>16898.749999999996</v>
      </c>
      <c r="AB13" s="28">
        <f>SUM(AB6:AB12)</f>
        <v>3362851.2499999991</v>
      </c>
    </row>
    <row r="14" spans="1:28" x14ac:dyDescent="0.25">
      <c r="F14" s="29"/>
      <c r="G14" s="29"/>
      <c r="L14" s="30"/>
      <c r="Q14" s="30"/>
      <c r="U14" s="30"/>
      <c r="X14" s="30"/>
      <c r="Y14" s="31"/>
      <c r="AA14" s="30"/>
    </row>
    <row r="15" spans="1:28" x14ac:dyDescent="0.25">
      <c r="L15" s="29"/>
      <c r="Q15" s="29"/>
      <c r="U15" s="29"/>
      <c r="X15" s="29"/>
      <c r="Y15" s="29"/>
      <c r="AA15" s="29"/>
    </row>
    <row r="16" spans="1:28" x14ac:dyDescent="0.25">
      <c r="G16" s="29"/>
      <c r="H16" s="29"/>
      <c r="I16" s="29"/>
      <c r="J16" s="29"/>
    </row>
    <row r="17" spans="3:4" x14ac:dyDescent="0.25">
      <c r="C17" s="32"/>
      <c r="D17" s="29"/>
    </row>
    <row r="18" spans="3:4" x14ac:dyDescent="0.25">
      <c r="C18" s="32"/>
    </row>
    <row r="19" spans="3:4" x14ac:dyDescent="0.25">
      <c r="C19" s="30"/>
    </row>
    <row r="20" spans="3:4" x14ac:dyDescent="0.25">
      <c r="C20" s="33"/>
    </row>
  </sheetData>
  <dataValidations count="2">
    <dataValidation allowBlank="1" showErrorMessage="1" error="please enter the valid number or number range has been exceeded" sqref="B7:D11 K6:K12" xr:uid="{53096653-716A-403E-9E68-32494C6CF8C9}">
      <formula1>0</formula1>
      <formula2>0</formula2>
    </dataValidation>
    <dataValidation allowBlank="1" showInputMessage="1" showErrorMessage="1" error="please enter the valid number or number range has been exceeded" sqref="F6:J12" xr:uid="{6AC4D332-FD57-4C35-94EB-D9F742F8ABDB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2026-06-02T13:13:59Z</dcterms:created>
  <dcterms:modified xsi:type="dcterms:W3CDTF">2026-06-02T13:16:40Z</dcterms:modified>
</cp:coreProperties>
</file>