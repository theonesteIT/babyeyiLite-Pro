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ro\babyeyipro\Frontend\web\public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/>
  <c r="J7" i="1"/>
  <c r="J6" i="1"/>
  <c r="J5" i="1"/>
  <c r="J4" i="1"/>
</calcChain>
</file>

<file path=xl/sharedStrings.xml><?xml version="1.0" encoding="utf-8"?>
<sst xmlns="http://schemas.openxmlformats.org/spreadsheetml/2006/main" count="62" uniqueCount="47">
  <si>
    <t>FIRST NAME</t>
  </si>
  <si>
    <t>10215340</t>
  </si>
  <si>
    <t>ABERA</t>
  </si>
  <si>
    <t>VALLY</t>
  </si>
  <si>
    <t>F</t>
  </si>
  <si>
    <t>19983446K</t>
  </si>
  <si>
    <t>AGABA</t>
  </si>
  <si>
    <t>ALBERT</t>
  </si>
  <si>
    <t>M</t>
  </si>
  <si>
    <t>20059935Y</t>
  </si>
  <si>
    <t xml:space="preserve">AGABA </t>
  </si>
  <si>
    <t>EBONNY</t>
  </si>
  <si>
    <t>20600265Z</t>
  </si>
  <si>
    <t>AGNES</t>
  </si>
  <si>
    <t>AKOYOLOT</t>
  </si>
  <si>
    <t>10398164F</t>
  </si>
  <si>
    <t>BABIRYE</t>
  </si>
  <si>
    <t>10197509</t>
  </si>
  <si>
    <t>Alvera</t>
  </si>
  <si>
    <t>MUKANTWALI</t>
  </si>
  <si>
    <t>20792689D</t>
  </si>
  <si>
    <t>TURYATEMBA</t>
  </si>
  <si>
    <t>ROGERS</t>
  </si>
  <si>
    <t>RSSB NUMBER</t>
  </si>
  <si>
    <t>National ID</t>
  </si>
  <si>
    <t>Last Name</t>
  </si>
  <si>
    <t>Gender</t>
  </si>
  <si>
    <t>Basic Salary</t>
  </si>
  <si>
    <t>Payment Method</t>
  </si>
  <si>
    <t>Bank Transfer</t>
  </si>
  <si>
    <t>Bank Name</t>
  </si>
  <si>
    <t>Bank of Kigali</t>
  </si>
  <si>
    <t>Bank Account Number</t>
  </si>
  <si>
    <t>Equity Bank</t>
  </si>
  <si>
    <t>Umwarimu Sacco</t>
  </si>
  <si>
    <t>I&amp;M Bank</t>
  </si>
  <si>
    <t>1197570011937382</t>
  </si>
  <si>
    <t>CM84101104ZD72</t>
  </si>
  <si>
    <t>1198780179442242</t>
  </si>
  <si>
    <t>002492932</t>
  </si>
  <si>
    <t>1198070159892032</t>
  </si>
  <si>
    <t>1197470034948142</t>
  </si>
  <si>
    <t>CM74009106TQJ2</t>
  </si>
  <si>
    <t>Totals ALLOWANCES</t>
  </si>
  <si>
    <t>Others</t>
  </si>
  <si>
    <t>H/A</t>
  </si>
  <si>
    <t>T/A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</si>
</sst>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49" fontId="4" fillId="0" borderId="1" xfId="2" applyNumberFormat="1" applyFont="1" applyBorder="1" applyAlignment="1" applyProtection="1">
      <alignment wrapText="1"/>
      <protection locked="0"/>
    </xf>
    <xf numFmtId="49" fontId="4" fillId="0" borderId="1" xfId="3" applyNumberFormat="1" applyFont="1" applyBorder="1" applyAlignment="1" applyProtection="1">
      <alignment wrapText="1"/>
      <protection locked="0"/>
    </xf>
    <xf numFmtId="0" fontId="4" fillId="0" borderId="1" xfId="2" applyFont="1" applyBorder="1" applyAlignment="1" applyProtection="1">
      <alignment wrapText="1"/>
      <protection locked="0"/>
    </xf>
    <xf numFmtId="0" fontId="4" fillId="0" borderId="1" xfId="0" applyFont="1" applyBorder="1" applyAlignment="1" applyProtection="1">
      <alignment wrapText="1"/>
      <protection locked="0"/>
    </xf>
    <xf numFmtId="49" fontId="6" fillId="0" borderId="1" xfId="2" applyNumberFormat="1" applyFont="1" applyBorder="1" applyAlignment="1" applyProtection="1">
      <alignment wrapText="1"/>
      <protection locked="0"/>
    </xf>
    <xf numFmtId="49" fontId="6" fillId="0" borderId="1" xfId="3" applyNumberFormat="1" applyFont="1" applyBorder="1" applyAlignment="1" applyProtection="1">
      <alignment wrapText="1"/>
      <protection locked="0"/>
    </xf>
    <xf numFmtId="0" fontId="6" fillId="0" borderId="1" xfId="2" applyFont="1" applyBorder="1" applyAlignment="1" applyProtection="1">
      <alignment wrapText="1"/>
      <protection locked="0"/>
    </xf>
    <xf numFmtId="0" fontId="6" fillId="0" borderId="1" xfId="0" applyFont="1" applyBorder="1" applyAlignment="1" applyProtection="1">
      <alignment wrapText="1"/>
      <protection locked="0"/>
    </xf>
    <xf numFmtId="0" fontId="3" fillId="2" borderId="2" xfId="0" applyFont="1" applyFill="1" applyBorder="1" applyAlignment="1">
      <alignment wrapText="1"/>
    </xf>
    <xf numFmtId="164" fontId="4" fillId="0" borderId="1" xfId="1" applyNumberFormat="1" applyFont="1" applyFill="1" applyBorder="1" applyAlignment="1" applyProtection="1">
      <alignment wrapText="1"/>
      <protection locked="0"/>
    </xf>
    <xf numFmtId="164" fontId="6" fillId="0" borderId="1" xfId="1" applyNumberFormat="1" applyFont="1" applyFill="1" applyBorder="1" applyAlignment="1" applyProtection="1">
      <alignment wrapText="1"/>
      <protection locked="0"/>
    </xf>
    <xf numFmtId="0" fontId="4" fillId="0" borderId="2" xfId="0" applyFont="1" applyFill="1" applyBorder="1" applyAlignment="1" applyProtection="1">
      <alignment wrapText="1"/>
      <protection locked="0"/>
    </xf>
    <xf numFmtId="43" fontId="3" fillId="2" borderId="1" xfId="1" applyFont="1" applyFill="1" applyBorder="1" applyAlignment="1">
      <alignment wrapText="1"/>
    </xf>
  </cellXfs>
  <cellStyles count="4">
    <cellStyle name="Comma" xfId="1" builtinId="3"/>
    <cellStyle name="Normal" xfId="0" builtinId="0"/>
    <cellStyle name="Normal 8" xfId="2"/>
    <cellStyle name="Normal_Sheet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D1" zoomScale="65" workbookViewId="0">
      <selection activeCell="L12" sqref="L12"/>
    </sheetView>
  </sheetViews>
  <sheetFormatPr defaultRowHeight="14.5" x14ac:dyDescent="0.35"/>
  <cols>
    <col min="1" max="1" width="32.453125" customWidth="1"/>
    <col min="2" max="2" width="21.26953125" customWidth="1"/>
    <col min="3" max="3" width="17.6328125" customWidth="1"/>
    <col min="4" max="4" width="33.81640625" customWidth="1"/>
    <col min="5" max="5" width="11.08984375" customWidth="1"/>
    <col min="6" max="6" width="15.08984375" customWidth="1"/>
    <col min="7" max="7" width="19.6328125" customWidth="1"/>
    <col min="8" max="8" width="15.90625" customWidth="1"/>
    <col min="9" max="9" width="29.81640625" customWidth="1"/>
    <col min="10" max="10" width="26.90625" customWidth="1"/>
    <col min="11" max="11" width="20.1796875" customWidth="1"/>
    <col min="12" max="12" width="16.7265625" customWidth="1"/>
    <col min="13" max="13" width="35.26953125" customWidth="1"/>
  </cols>
  <sheetData>
    <row r="1" spans="1:13" ht="60.5" x14ac:dyDescent="0.35">
      <c r="A1" s="1" t="s">
        <v>23</v>
      </c>
      <c r="B1" s="1" t="s">
        <v>24</v>
      </c>
      <c r="C1" s="2" t="s">
        <v>0</v>
      </c>
      <c r="D1" s="2" t="s">
        <v>25</v>
      </c>
      <c r="E1" s="2" t="s">
        <v>26</v>
      </c>
      <c r="F1" s="11" t="s">
        <v>27</v>
      </c>
      <c r="G1" s="11" t="s">
        <v>28</v>
      </c>
      <c r="H1" s="11" t="s">
        <v>30</v>
      </c>
      <c r="I1" s="11" t="s">
        <v>32</v>
      </c>
      <c r="J1" s="15" t="s">
        <v>43</v>
      </c>
      <c r="K1" s="15" t="s">
        <v>44</v>
      </c>
      <c r="L1" s="15" t="s">
        <v>45</v>
      </c>
      <c r="M1" s="15" t="s">
        <v>46</v>
      </c>
    </row>
    <row r="2" spans="1:13" ht="15.5" x14ac:dyDescent="0.35">
      <c r="A2" s="3" t="s">
        <v>1</v>
      </c>
      <c r="B2" s="4" t="s">
        <v>36</v>
      </c>
      <c r="C2" s="5" t="s">
        <v>2</v>
      </c>
      <c r="D2" s="5" t="s">
        <v>3</v>
      </c>
      <c r="E2" s="6" t="s">
        <v>4</v>
      </c>
      <c r="F2" s="12">
        <v>549419</v>
      </c>
      <c r="G2" s="14" t="s">
        <v>29</v>
      </c>
      <c r="H2" s="14" t="s">
        <v>31</v>
      </c>
      <c r="I2">
        <v>100200300</v>
      </c>
      <c r="J2" s="12">
        <f>K3+L3+M3</f>
        <v>235464</v>
      </c>
      <c r="K2" s="12">
        <v>78488</v>
      </c>
      <c r="L2" s="12">
        <v>78488</v>
      </c>
      <c r="M2" s="12">
        <v>78488</v>
      </c>
    </row>
    <row r="3" spans="1:13" ht="15.5" x14ac:dyDescent="0.35">
      <c r="A3" s="3" t="s">
        <v>5</v>
      </c>
      <c r="B3" s="4" t="s">
        <v>37</v>
      </c>
      <c r="C3" s="5" t="s">
        <v>6</v>
      </c>
      <c r="D3" s="5" t="s">
        <v>7</v>
      </c>
      <c r="E3" s="6" t="s">
        <v>8</v>
      </c>
      <c r="F3" s="12">
        <v>549419</v>
      </c>
      <c r="G3" s="14" t="s">
        <v>29</v>
      </c>
      <c r="H3" s="14" t="s">
        <v>31</v>
      </c>
      <c r="I3">
        <v>10020000324</v>
      </c>
      <c r="J3" s="12">
        <f t="shared" ref="J2:J7" si="0">K3+L3+M3</f>
        <v>235464</v>
      </c>
      <c r="K3" s="12">
        <v>78488</v>
      </c>
      <c r="L3" s="12">
        <v>78488</v>
      </c>
      <c r="M3" s="12">
        <v>78488</v>
      </c>
    </row>
    <row r="4" spans="1:13" ht="15.5" x14ac:dyDescent="0.35">
      <c r="A4" s="3" t="s">
        <v>9</v>
      </c>
      <c r="B4" s="4" t="s">
        <v>38</v>
      </c>
      <c r="C4" s="5" t="s">
        <v>10</v>
      </c>
      <c r="D4" s="5" t="s">
        <v>11</v>
      </c>
      <c r="E4" s="6" t="s">
        <v>8</v>
      </c>
      <c r="F4" s="12">
        <v>639193</v>
      </c>
      <c r="G4" s="14" t="s">
        <v>29</v>
      </c>
      <c r="H4" s="14" t="s">
        <v>33</v>
      </c>
      <c r="I4">
        <v>1002003030</v>
      </c>
      <c r="J4" s="12">
        <f t="shared" si="0"/>
        <v>273939</v>
      </c>
      <c r="K4" s="12">
        <v>91313</v>
      </c>
      <c r="L4" s="12">
        <v>91313</v>
      </c>
      <c r="M4" s="12">
        <v>91313</v>
      </c>
    </row>
    <row r="5" spans="1:13" ht="15.5" x14ac:dyDescent="0.35">
      <c r="A5" s="3" t="s">
        <v>12</v>
      </c>
      <c r="B5" s="4" t="s">
        <v>39</v>
      </c>
      <c r="C5" s="5" t="s">
        <v>13</v>
      </c>
      <c r="D5" s="5" t="s">
        <v>14</v>
      </c>
      <c r="E5" s="6" t="s">
        <v>4</v>
      </c>
      <c r="F5" s="12">
        <v>519494</v>
      </c>
      <c r="G5" s="14" t="s">
        <v>29</v>
      </c>
      <c r="H5" s="14" t="s">
        <v>31</v>
      </c>
      <c r="I5">
        <v>100200300</v>
      </c>
      <c r="J5" s="12">
        <f t="shared" si="0"/>
        <v>222639</v>
      </c>
      <c r="K5" s="12">
        <v>74213</v>
      </c>
      <c r="L5" s="12">
        <v>74213</v>
      </c>
      <c r="M5" s="12">
        <v>74213</v>
      </c>
    </row>
    <row r="6" spans="1:13" ht="31" x14ac:dyDescent="0.35">
      <c r="A6" s="3" t="s">
        <v>15</v>
      </c>
      <c r="B6" s="4" t="s">
        <v>40</v>
      </c>
      <c r="C6" s="5" t="s">
        <v>13</v>
      </c>
      <c r="D6" s="5" t="s">
        <v>16</v>
      </c>
      <c r="E6" s="6" t="s">
        <v>4</v>
      </c>
      <c r="F6" s="12">
        <v>450667</v>
      </c>
      <c r="G6" s="14" t="s">
        <v>29</v>
      </c>
      <c r="H6" s="14" t="s">
        <v>34</v>
      </c>
      <c r="I6">
        <v>100200300</v>
      </c>
      <c r="J6" s="12">
        <f t="shared" si="0"/>
        <v>193143</v>
      </c>
      <c r="K6" s="12">
        <v>64381</v>
      </c>
      <c r="L6" s="12">
        <v>64381</v>
      </c>
      <c r="M6" s="12">
        <v>64381</v>
      </c>
    </row>
    <row r="7" spans="1:13" ht="15.5" x14ac:dyDescent="0.35">
      <c r="A7" s="3" t="s">
        <v>17</v>
      </c>
      <c r="B7" s="4" t="s">
        <v>41</v>
      </c>
      <c r="C7" s="5" t="s">
        <v>18</v>
      </c>
      <c r="D7" s="5" t="s">
        <v>19</v>
      </c>
      <c r="E7" s="6" t="s">
        <v>4</v>
      </c>
      <c r="F7" s="12">
        <v>480292</v>
      </c>
      <c r="G7" s="14" t="s">
        <v>29</v>
      </c>
      <c r="H7" s="14" t="s">
        <v>31</v>
      </c>
      <c r="I7">
        <v>2333242522</v>
      </c>
      <c r="J7" s="12">
        <f t="shared" si="0"/>
        <v>205839</v>
      </c>
      <c r="K7" s="12">
        <v>68613</v>
      </c>
      <c r="L7" s="12">
        <v>68613</v>
      </c>
      <c r="M7" s="12">
        <v>68613</v>
      </c>
    </row>
    <row r="8" spans="1:13" ht="15.5" x14ac:dyDescent="0.35">
      <c r="A8" s="7" t="s">
        <v>20</v>
      </c>
      <c r="B8" s="8" t="s">
        <v>42</v>
      </c>
      <c r="C8" s="8" t="s">
        <v>21</v>
      </c>
      <c r="D8" s="9" t="s">
        <v>22</v>
      </c>
      <c r="E8" s="10" t="s">
        <v>8</v>
      </c>
      <c r="F8" s="13">
        <v>0</v>
      </c>
      <c r="G8" s="14" t="s">
        <v>29</v>
      </c>
      <c r="H8" s="14" t="s">
        <v>35</v>
      </c>
      <c r="I8">
        <v>10020030235</v>
      </c>
    </row>
  </sheetData>
  <dataValidations count="2">
    <dataValidation allowBlank="1" showErrorMessage="1" error="please enter the valid number or number range has been exceeded" sqref="B3:D7">
      <formula1>0</formula1>
      <formula2>0</formula2>
    </dataValidation>
    <dataValidation allowBlank="1" showInputMessage="1" showErrorMessage="1" error="please enter the valid number or number range has been exceeded" sqref="F2:F8 J2:M7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nshuti gloriose</dc:creator>
  <cp:lastModifiedBy>nshuti gloriose</cp:lastModifiedBy>
  <dcterms:created xsi:type="dcterms:W3CDTF">2026-06-02T19:25:58Z</dcterms:created>
  <dcterms:modified xsi:type="dcterms:W3CDTF">2026-06-03T07:04:12Z</dcterms:modified>
</cp:coreProperties>
</file>