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ro\babyeyipro\Frontend\web\public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Q17" i="1"/>
  <c r="Q16" i="1"/>
  <c r="Q15" i="1"/>
  <c r="N15" i="1"/>
  <c r="O15" i="1" s="1"/>
  <c r="Q14" i="1"/>
  <c r="O14" i="1"/>
  <c r="R13" i="1"/>
  <c r="Q11" i="1"/>
  <c r="Q10" i="1"/>
  <c r="Q9" i="1"/>
  <c r="Q8" i="1"/>
  <c r="Q7" i="1"/>
  <c r="Q6" i="1"/>
  <c r="Q5" i="1"/>
  <c r="Q4" i="1"/>
  <c r="Q3" i="1"/>
  <c r="O3" i="1"/>
  <c r="N4" i="1" s="1"/>
  <c r="O4" i="1" s="1"/>
  <c r="N16" i="1" l="1"/>
  <c r="O16" i="1" s="1"/>
  <c r="R15" i="1"/>
  <c r="S15" i="1" s="1"/>
  <c r="T15" i="1" s="1"/>
  <c r="R4" i="1"/>
  <c r="S4" i="1" s="1"/>
  <c r="N5" i="1"/>
  <c r="O5" i="1" s="1"/>
  <c r="T4" i="1"/>
  <c r="R14" i="1"/>
  <c r="S14" i="1" s="1"/>
  <c r="T14" i="1" s="1"/>
  <c r="R5" i="1" l="1"/>
  <c r="S5" i="1" s="1"/>
  <c r="P6" i="1" s="1"/>
  <c r="N6" i="1"/>
  <c r="O6" i="1" s="1"/>
  <c r="N17" i="1"/>
  <c r="O17" i="1" s="1"/>
  <c r="R16" i="1"/>
  <c r="S16" i="1" s="1"/>
  <c r="T16" i="1" s="1"/>
  <c r="R17" i="1" l="1"/>
  <c r="S17" i="1" s="1"/>
  <c r="N18" i="1"/>
  <c r="O18" i="1" s="1"/>
  <c r="T17" i="1"/>
  <c r="N7" i="1"/>
  <c r="O7" i="1" s="1"/>
  <c r="R6" i="1"/>
  <c r="S6" i="1"/>
  <c r="P7" i="1" s="1"/>
  <c r="T5" i="1"/>
  <c r="N8" i="1" l="1"/>
  <c r="O8" i="1" s="1"/>
  <c r="R7" i="1"/>
  <c r="S7" i="1" s="1"/>
  <c r="T6" i="1"/>
  <c r="R18" i="1"/>
  <c r="S18" i="1" s="1"/>
  <c r="T18" i="1" s="1"/>
  <c r="P8" i="1" l="1"/>
  <c r="T7" i="1"/>
  <c r="N9" i="1"/>
  <c r="O9" i="1" s="1"/>
  <c r="R8" i="1"/>
  <c r="N10" i="1" l="1"/>
  <c r="S8" i="1"/>
  <c r="P9" i="1" l="1"/>
  <c r="T8" i="1"/>
  <c r="O10" i="1"/>
  <c r="N11" i="1" l="1"/>
  <c r="R9" i="1"/>
  <c r="S9" i="1" s="1"/>
  <c r="P10" i="1" l="1"/>
  <c r="T9" i="1"/>
  <c r="O11" i="1"/>
  <c r="R10" i="1" l="1"/>
  <c r="S10" i="1" s="1"/>
  <c r="P11" i="1" l="1"/>
  <c r="T10" i="1"/>
  <c r="R11" i="1" l="1"/>
  <c r="S11" i="1" s="1"/>
  <c r="T11" i="1" s="1"/>
</calcChain>
</file>

<file path=xl/sharedStrings.xml><?xml version="1.0" encoding="utf-8"?>
<sst xmlns="http://schemas.openxmlformats.org/spreadsheetml/2006/main" count="110" uniqueCount="52">
  <si>
    <t>location</t>
  </si>
  <si>
    <t>name</t>
  </si>
  <si>
    <t>label</t>
  </si>
  <si>
    <t>type</t>
  </si>
  <si>
    <t>supplier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</si>
  <si>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</si>
  <si>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</si>
  <si>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</si>
  <si>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</si>
  <si>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</si>
  <si>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</si>
  <si>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</si>
  <si>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</si>
  <si>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opening amount</t>
  </si>
  <si>
    <t>TOTAL BALANCE</t>
  </si>
  <si>
    <t>accumulated DEPRECIATION</t>
  </si>
  <si>
    <t>decimal depr</t>
  </si>
  <si>
    <t>Annual depreciation</t>
  </si>
  <si>
    <t>TOTAL DEPRECIATION</t>
  </si>
  <si>
    <t>NET BOOK VALUE</t>
  </si>
  <si>
    <t>quantity</t>
  </si>
  <si>
    <t>depreciation_mode</t>
  </si>
  <si>
    <t>depreciation_rate</t>
  </si>
  <si>
    <t>description</t>
  </si>
  <si>
    <t>BUILDING</t>
  </si>
  <si>
    <t>KIMIRONKO</t>
  </si>
  <si>
    <t>opening balance</t>
  </si>
  <si>
    <t>DAY CARE HALL</t>
  </si>
  <si>
    <t>NEW DINNING HALL</t>
  </si>
  <si>
    <t>FURNITURE</t>
  </si>
  <si>
    <t>P1 MC</t>
  </si>
  <si>
    <t>TABLE</t>
  </si>
  <si>
    <t>TBB</t>
  </si>
  <si>
    <t>NIYOKWIZERWA JE DE DIEU</t>
  </si>
  <si>
    <t>WOODEN BIG TABLE OF BAG_TBB01</t>
  </si>
  <si>
    <t>KPS/P1MC/TBB/01</t>
  </si>
  <si>
    <t>BIG</t>
  </si>
  <si>
    <t>WOODEN  SIPLE</t>
  </si>
  <si>
    <t>DIMINISHING</t>
  </si>
  <si>
    <t>GOOD CONDITION</t>
  </si>
  <si>
    <t>P1 VN</t>
  </si>
  <si>
    <t>WOODEN BIG TABLE OF BAG_TBB02</t>
  </si>
  <si>
    <t>KPS/P1VN/TBB/01</t>
  </si>
  <si>
    <t>P1ETH</t>
  </si>
  <si>
    <t>WOODEN BIG TABLE OF BAG_TBB03</t>
  </si>
  <si>
    <t>KPS/P1ETH/TBB/01</t>
  </si>
  <si>
    <t>P1 MR</t>
  </si>
  <si>
    <t>WOODEN BIG TABLE OF BAG_TBB04</t>
  </si>
  <si>
    <t>KPS/P1MR/TBB/01</t>
  </si>
  <si>
    <t>P1 JP</t>
  </si>
  <si>
    <t>WOODEN BIG TABLE OF BAG_TBB05</t>
  </si>
  <si>
    <t>KPS/P1JP/TBB/01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</si>
</sst>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0.00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sz val="11"/>
      <name val="Calibri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vertical="center"/>
    </xf>
    <xf numFmtId="49" fontId="2" fillId="2" borderId="0" xfId="0" applyNumberFormat="1" applyFont="1" applyFill="1" applyAlignment="1">
      <alignment horizontal="center"/>
    </xf>
    <xf numFmtId="0" fontId="0" fillId="0" borderId="0" xfId="0" applyNumberFormat="1" applyAlignment="1">
      <alignment vertical="center"/>
    </xf>
    <xf numFmtId="39" fontId="4" fillId="0" borderId="0" xfId="0" applyNumberFormat="1" applyFont="1" applyFill="1" applyAlignment="1"/>
    <xf numFmtId="165" fontId="4" fillId="0" borderId="0" xfId="1" applyNumberFormat="1" applyFont="1" applyFill="1" applyAlignment="1"/>
    <xf numFmtId="164" fontId="0" fillId="0" borderId="0" xfId="0" applyNumberFormat="1" applyAlignment="1">
      <alignment vertical="center"/>
    </xf>
    <xf numFmtId="43" fontId="1" fillId="0" borderId="0" xfId="1" applyAlignment="1">
      <alignment vertical="center"/>
    </xf>
    <xf numFmtId="39" fontId="0" fillId="0" borderId="0" xfId="0" applyNumberFormat="1" applyAlignment="1">
      <alignment vertical="center"/>
    </xf>
    <xf numFmtId="165" fontId="1" fillId="0" borderId="0" xfId="1" applyNumberFormat="1" applyFill="1" applyAlignment="1">
      <alignment vertical="center"/>
    </xf>
    <xf numFmtId="165" fontId="1" fillId="0" borderId="0" xfId="1" applyNumberFormat="1" applyAlignment="1">
      <alignment vertical="center"/>
    </xf>
    <xf numFmtId="165" fontId="2" fillId="2" borderId="0" xfId="1" applyNumberFormat="1" applyFont="1" applyFill="1" applyAlignment="1">
      <alignment horizontal="center"/>
    </xf>
    <xf numFmtId="165" fontId="3" fillId="0" borderId="0" xfId="1" applyNumberFormat="1" applyFont="1" applyFill="1" applyAlignment="1"/>
    <xf numFmtId="49" fontId="5" fillId="0" borderId="0" xfId="0" applyNumberFormat="1" applyFont="1" applyFill="1" applyAlignment="1"/>
    <xf numFmtId="0" fontId="5" fillId="0" borderId="0" xfId="0" applyNumberFormat="1" applyFont="1" applyFill="1" applyAlignment="1"/>
    <xf numFmtId="165" fontId="5" fillId="0" borderId="0" xfId="1" applyNumberFormat="1" applyFont="1" applyFill="1" applyAlignment="1"/>
    <xf numFmtId="165" fontId="6" fillId="0" borderId="0" xfId="1" applyNumberFormat="1" applyFont="1" applyFill="1" applyBorder="1" applyAlignment="1"/>
    <xf numFmtId="165" fontId="6" fillId="0" borderId="0" xfId="1" applyNumberFormat="1" applyFont="1" applyFill="1" applyAlignment="1"/>
    <xf numFmtId="166" fontId="5" fillId="0" borderId="0" xfId="1" applyNumberFormat="1" applyFont="1" applyFill="1" applyAlignment="1"/>
    <xf numFmtId="49" fontId="6" fillId="0" borderId="0" xfId="0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topLeftCell="Q1" workbookViewId="0">
      <selection activeCell="AA14" sqref="AA14"/>
    </sheetView>
  </sheetViews>
  <sheetFormatPr defaultRowHeight="14.5"/>
  <cols>
    <col min="13" max="13" width="18.08984375" bestFit="1" customWidth="1"/>
    <col min="14" max="15" width="15.7265625" bestFit="1" customWidth="1"/>
    <col min="16" max="16" width="24.7265625" bestFit="1" customWidth="1"/>
    <col min="17" max="17" width="11.6328125" bestFit="1" customWidth="1"/>
    <col min="18" max="18" width="17.90625" bestFit="1" customWidth="1"/>
    <col min="19" max="19" width="19.26953125" bestFit="1" customWidth="1"/>
    <col min="20" max="20" width="15.453125" bestFit="1" customWidth="1"/>
    <col min="21" max="21" width="7.90625" bestFit="1" customWidth="1"/>
    <col min="22" max="22" width="17.36328125" bestFit="1" customWidth="1"/>
    <col min="23" max="23" width="15.90625" bestFit="1" customWidth="1"/>
    <col min="24" max="24" width="10.1796875" bestFit="1" customWidth="1"/>
    <col min="25" max="25" width="16.363281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3"/>
    </row>
    <row r="2" spans="1:26">
      <c r="A2" s="4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2"/>
      <c r="Z2" s="3"/>
    </row>
    <row r="3" spans="1:26">
      <c r="A3" s="3" t="s">
        <v>25</v>
      </c>
      <c r="B3" s="3" t="s">
        <v>26</v>
      </c>
      <c r="C3" s="3"/>
      <c r="D3" s="3" t="s">
        <v>24</v>
      </c>
      <c r="E3" s="3"/>
      <c r="F3" s="3"/>
      <c r="G3" s="3"/>
      <c r="H3" s="3"/>
      <c r="I3" s="3"/>
      <c r="J3" s="3">
        <v>2018</v>
      </c>
      <c r="K3" s="5">
        <v>1</v>
      </c>
      <c r="L3" s="5">
        <v>1</v>
      </c>
      <c r="M3" s="3"/>
      <c r="N3" s="6">
        <v>3694267000</v>
      </c>
      <c r="O3" s="6">
        <f t="shared" ref="O3:O11" si="0">M3+N3</f>
        <v>3694267000</v>
      </c>
      <c r="P3" s="7">
        <v>184713000</v>
      </c>
      <c r="Q3" s="8">
        <f t="shared" ref="Q3:Q11" si="1">5/100</f>
        <v>0.05</v>
      </c>
      <c r="R3" s="8"/>
      <c r="S3" s="8"/>
      <c r="T3" s="8"/>
      <c r="U3" s="3"/>
      <c r="V3" s="3"/>
      <c r="W3" s="3">
        <v>5</v>
      </c>
      <c r="X3" s="3"/>
      <c r="Y3" s="3"/>
      <c r="Z3" s="3"/>
    </row>
    <row r="4" spans="1:26">
      <c r="A4" s="3" t="s">
        <v>25</v>
      </c>
      <c r="B4" s="3" t="s">
        <v>27</v>
      </c>
      <c r="C4" s="3"/>
      <c r="D4" s="3" t="s">
        <v>24</v>
      </c>
      <c r="E4" s="3"/>
      <c r="F4" s="3"/>
      <c r="G4" s="3"/>
      <c r="H4" s="3"/>
      <c r="I4" s="3"/>
      <c r="J4" s="3">
        <v>2018</v>
      </c>
      <c r="K4" s="3">
        <v>12</v>
      </c>
      <c r="L4" s="3">
        <v>31</v>
      </c>
      <c r="M4" s="9">
        <v>175274669</v>
      </c>
      <c r="N4" s="10">
        <f t="shared" ref="N4:N11" si="2">O3</f>
        <v>3694267000</v>
      </c>
      <c r="O4" s="6">
        <f t="shared" si="0"/>
        <v>3869541669</v>
      </c>
      <c r="P4" s="7">
        <v>184713000</v>
      </c>
      <c r="Q4" s="8">
        <f t="shared" si="1"/>
        <v>0.05</v>
      </c>
      <c r="R4" s="11">
        <f t="shared" ref="R4:R6" si="3">O4*Q4</f>
        <v>193477083.45000002</v>
      </c>
      <c r="S4" s="12">
        <f t="shared" ref="S4:S11" si="4">P4+R4</f>
        <v>378190083.45000005</v>
      </c>
      <c r="T4" s="12">
        <f t="shared" ref="T4:T9" si="5">O4-S4</f>
        <v>3491351585.5500002</v>
      </c>
      <c r="U4" s="3"/>
      <c r="V4" s="3"/>
      <c r="W4" s="3">
        <v>5</v>
      </c>
      <c r="X4" s="3"/>
      <c r="Y4" s="3"/>
      <c r="Z4" s="3"/>
    </row>
    <row r="5" spans="1:26">
      <c r="A5" s="3" t="s">
        <v>25</v>
      </c>
      <c r="B5" s="3" t="s">
        <v>27</v>
      </c>
      <c r="C5" s="3"/>
      <c r="D5" s="3" t="s">
        <v>24</v>
      </c>
      <c r="E5" s="3"/>
      <c r="F5" s="3"/>
      <c r="G5" s="3"/>
      <c r="H5" s="3"/>
      <c r="I5" s="3"/>
      <c r="J5" s="3">
        <v>2019</v>
      </c>
      <c r="K5" s="3">
        <v>12</v>
      </c>
      <c r="L5" s="3">
        <v>31</v>
      </c>
      <c r="M5" s="9">
        <v>142739150</v>
      </c>
      <c r="N5" s="10">
        <f t="shared" si="2"/>
        <v>3869541669</v>
      </c>
      <c r="O5" s="6">
        <f t="shared" si="0"/>
        <v>4012280819</v>
      </c>
      <c r="P5" s="12">
        <v>378190083.44999999</v>
      </c>
      <c r="Q5" s="8">
        <f t="shared" si="1"/>
        <v>0.05</v>
      </c>
      <c r="R5" s="11">
        <f t="shared" si="3"/>
        <v>200614040.95000002</v>
      </c>
      <c r="S5" s="12">
        <f t="shared" si="4"/>
        <v>578804124.39999998</v>
      </c>
      <c r="T5" s="12">
        <f t="shared" si="5"/>
        <v>3433476694.5999999</v>
      </c>
      <c r="U5" s="10"/>
      <c r="V5" s="10"/>
      <c r="W5" s="3">
        <v>5</v>
      </c>
      <c r="X5" s="3"/>
      <c r="Y5" s="3"/>
      <c r="Z5" s="3"/>
    </row>
    <row r="6" spans="1:26">
      <c r="A6" s="3" t="s">
        <v>25</v>
      </c>
      <c r="B6" s="3" t="s">
        <v>27</v>
      </c>
      <c r="C6" s="3"/>
      <c r="D6" s="3" t="s">
        <v>24</v>
      </c>
      <c r="E6" s="3"/>
      <c r="F6" s="3"/>
      <c r="G6" s="3"/>
      <c r="H6" s="3"/>
      <c r="I6" s="3"/>
      <c r="J6" s="3">
        <v>2020</v>
      </c>
      <c r="K6" s="3">
        <v>12</v>
      </c>
      <c r="L6" s="3">
        <v>31</v>
      </c>
      <c r="M6" s="9">
        <v>4556810</v>
      </c>
      <c r="N6" s="10">
        <f t="shared" si="2"/>
        <v>4012280819</v>
      </c>
      <c r="O6" s="6">
        <f t="shared" si="0"/>
        <v>4016837629</v>
      </c>
      <c r="P6" s="12">
        <f t="shared" ref="P6:P11" si="6">S5</f>
        <v>578804124.39999998</v>
      </c>
      <c r="Q6" s="8">
        <f t="shared" si="1"/>
        <v>0.05</v>
      </c>
      <c r="R6" s="11">
        <f t="shared" si="3"/>
        <v>200841881.45000002</v>
      </c>
      <c r="S6" s="12">
        <f t="shared" si="4"/>
        <v>779646005.85000002</v>
      </c>
      <c r="T6" s="12">
        <f t="shared" si="5"/>
        <v>3237191623.1500001</v>
      </c>
      <c r="U6" s="3"/>
      <c r="V6" s="3"/>
      <c r="W6" s="3">
        <v>5</v>
      </c>
      <c r="X6" s="10"/>
      <c r="Y6" s="10"/>
      <c r="Z6" s="3"/>
    </row>
    <row r="7" spans="1:26">
      <c r="A7" s="3" t="s">
        <v>25</v>
      </c>
      <c r="B7" s="3" t="s">
        <v>27</v>
      </c>
      <c r="C7" s="3"/>
      <c r="D7" s="3" t="s">
        <v>24</v>
      </c>
      <c r="E7" s="3"/>
      <c r="F7" s="3"/>
      <c r="G7" s="3"/>
      <c r="H7" s="3"/>
      <c r="I7" s="3"/>
      <c r="J7" s="3">
        <v>2021</v>
      </c>
      <c r="K7" s="3">
        <v>12</v>
      </c>
      <c r="L7" s="3">
        <v>31</v>
      </c>
      <c r="M7" s="9">
        <v>78948763</v>
      </c>
      <c r="N7" s="10">
        <f t="shared" si="2"/>
        <v>4016837629</v>
      </c>
      <c r="O7" s="6">
        <f t="shared" si="0"/>
        <v>4095786392</v>
      </c>
      <c r="P7" s="12">
        <f t="shared" si="6"/>
        <v>779646005.85000002</v>
      </c>
      <c r="Q7" s="8">
        <f t="shared" si="1"/>
        <v>0.05</v>
      </c>
      <c r="R7" s="11">
        <f t="shared" ref="R7:R9" si="7">(O7-P7)*Q7</f>
        <v>165807019.3075</v>
      </c>
      <c r="S7" s="12">
        <f t="shared" si="4"/>
        <v>945453025.15750003</v>
      </c>
      <c r="T7" s="12">
        <f t="shared" si="5"/>
        <v>3150333366.8424997</v>
      </c>
      <c r="U7" s="3"/>
      <c r="V7" s="3"/>
      <c r="W7" s="3">
        <v>5</v>
      </c>
      <c r="X7" s="3"/>
      <c r="Y7" s="3"/>
      <c r="Z7" s="10"/>
    </row>
    <row r="8" spans="1:26">
      <c r="A8" s="3" t="s">
        <v>25</v>
      </c>
      <c r="B8" s="3" t="s">
        <v>27</v>
      </c>
      <c r="C8" s="3"/>
      <c r="D8" s="3" t="s">
        <v>24</v>
      </c>
      <c r="E8" s="3"/>
      <c r="F8" s="3"/>
      <c r="G8" s="3"/>
      <c r="H8" s="3"/>
      <c r="I8" s="3"/>
      <c r="J8" s="3">
        <v>2022</v>
      </c>
      <c r="K8" s="3">
        <v>12</v>
      </c>
      <c r="L8" s="3">
        <v>31</v>
      </c>
      <c r="M8" s="9">
        <v>277363943</v>
      </c>
      <c r="N8" s="10">
        <f t="shared" si="2"/>
        <v>4095786392</v>
      </c>
      <c r="O8" s="6">
        <f t="shared" si="0"/>
        <v>4373150335</v>
      </c>
      <c r="P8" s="12">
        <f t="shared" si="6"/>
        <v>945453025.15750003</v>
      </c>
      <c r="Q8" s="8">
        <f t="shared" si="1"/>
        <v>0.05</v>
      </c>
      <c r="R8" s="11">
        <f t="shared" si="7"/>
        <v>171384865.492125</v>
      </c>
      <c r="S8" s="12">
        <f t="shared" si="4"/>
        <v>1116837890.6496251</v>
      </c>
      <c r="T8" s="12">
        <f t="shared" si="5"/>
        <v>3256312444.3503752</v>
      </c>
      <c r="U8" s="3"/>
      <c r="V8" s="3"/>
      <c r="W8" s="3">
        <v>5</v>
      </c>
      <c r="X8" s="3"/>
      <c r="Y8" s="3"/>
      <c r="Z8" s="3"/>
    </row>
    <row r="9" spans="1:26">
      <c r="A9" s="3" t="s">
        <v>25</v>
      </c>
      <c r="B9" s="3" t="s">
        <v>28</v>
      </c>
      <c r="C9" s="3"/>
      <c r="D9" s="3" t="s">
        <v>24</v>
      </c>
      <c r="E9" s="3"/>
      <c r="F9" s="3"/>
      <c r="G9" s="3"/>
      <c r="H9" s="3"/>
      <c r="I9" s="3"/>
      <c r="J9" s="3">
        <v>2023</v>
      </c>
      <c r="K9" s="3">
        <v>12</v>
      </c>
      <c r="L9" s="3">
        <v>31</v>
      </c>
      <c r="M9" s="9">
        <v>169593937</v>
      </c>
      <c r="N9" s="10">
        <f t="shared" si="2"/>
        <v>4373150335</v>
      </c>
      <c r="O9" s="6">
        <f t="shared" si="0"/>
        <v>4542744272</v>
      </c>
      <c r="P9" s="12">
        <f t="shared" si="6"/>
        <v>1116837890.6496251</v>
      </c>
      <c r="Q9" s="8">
        <f t="shared" si="1"/>
        <v>0.05</v>
      </c>
      <c r="R9" s="11">
        <f t="shared" si="7"/>
        <v>171295319.06751877</v>
      </c>
      <c r="S9" s="12">
        <f t="shared" si="4"/>
        <v>1288133209.7171438</v>
      </c>
      <c r="T9" s="12">
        <f t="shared" si="5"/>
        <v>3254611062.282856</v>
      </c>
      <c r="U9" s="3"/>
      <c r="V9" s="3"/>
      <c r="W9" s="3">
        <v>5</v>
      </c>
      <c r="X9" s="3"/>
      <c r="Y9" s="3"/>
      <c r="Z9" s="3"/>
    </row>
    <row r="10" spans="1:26">
      <c r="A10" s="3" t="s">
        <v>25</v>
      </c>
      <c r="B10" s="3" t="s">
        <v>28</v>
      </c>
      <c r="C10" s="3"/>
      <c r="D10" s="3" t="s">
        <v>24</v>
      </c>
      <c r="E10" s="3"/>
      <c r="F10" s="3"/>
      <c r="G10" s="3"/>
      <c r="H10" s="3"/>
      <c r="I10" s="3"/>
      <c r="J10" s="3">
        <v>2024</v>
      </c>
      <c r="K10" s="3">
        <v>12</v>
      </c>
      <c r="L10" s="3">
        <v>31</v>
      </c>
      <c r="M10" s="9">
        <v>150200674</v>
      </c>
      <c r="N10" s="10">
        <f t="shared" si="2"/>
        <v>4542744272</v>
      </c>
      <c r="O10" s="6">
        <f t="shared" si="0"/>
        <v>4692944946</v>
      </c>
      <c r="P10" s="12">
        <f t="shared" si="6"/>
        <v>1288133209.7171438</v>
      </c>
      <c r="Q10" s="8">
        <f t="shared" si="1"/>
        <v>0.05</v>
      </c>
      <c r="R10" s="11">
        <f>(N10-P10)*Q10</f>
        <v>162730553.11414281</v>
      </c>
      <c r="S10" s="12">
        <f t="shared" si="4"/>
        <v>1450863762.8312867</v>
      </c>
      <c r="T10" s="12">
        <f>O10-M10-S10</f>
        <v>3091880509.1687136</v>
      </c>
      <c r="U10" s="3"/>
      <c r="V10" s="3"/>
      <c r="W10" s="3">
        <v>5</v>
      </c>
      <c r="X10" s="3"/>
      <c r="Y10" s="3"/>
      <c r="Z10" s="3"/>
    </row>
    <row r="11" spans="1:26">
      <c r="A11" s="3" t="s">
        <v>25</v>
      </c>
      <c r="B11" s="3" t="s">
        <v>28</v>
      </c>
      <c r="C11" s="3"/>
      <c r="D11" s="3" t="s">
        <v>24</v>
      </c>
      <c r="E11" s="3"/>
      <c r="F11" s="3"/>
      <c r="G11" s="3"/>
      <c r="H11" s="3"/>
      <c r="I11" s="3"/>
      <c r="J11" s="3">
        <v>2025</v>
      </c>
      <c r="K11" s="3">
        <v>12</v>
      </c>
      <c r="L11" s="3">
        <v>31</v>
      </c>
      <c r="M11" s="9">
        <v>95833171</v>
      </c>
      <c r="N11" s="10">
        <f t="shared" si="2"/>
        <v>4692944946</v>
      </c>
      <c r="O11" s="6">
        <f t="shared" si="0"/>
        <v>4788778117</v>
      </c>
      <c r="P11" s="12">
        <f t="shared" si="6"/>
        <v>1450863762.8312867</v>
      </c>
      <c r="Q11" s="8">
        <f t="shared" si="1"/>
        <v>0.05</v>
      </c>
      <c r="R11" s="12">
        <f>(N11-M10-P11)*Q11</f>
        <v>154594025.45843568</v>
      </c>
      <c r="S11" s="12">
        <f t="shared" si="4"/>
        <v>1605457788.2897224</v>
      </c>
      <c r="T11" s="12">
        <f>O11-M11-M10-S11</f>
        <v>2937286483.7102776</v>
      </c>
      <c r="U11" s="3"/>
      <c r="V11" s="3"/>
      <c r="W11" s="3">
        <v>5</v>
      </c>
      <c r="X11" s="3"/>
      <c r="Y11" s="3"/>
      <c r="Z11" s="3"/>
    </row>
    <row r="12" spans="1:26">
      <c r="A12" s="13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  <c r="Z12" s="12"/>
    </row>
    <row r="13" spans="1:26">
      <c r="A13" s="15"/>
      <c r="B13" s="15" t="s">
        <v>26</v>
      </c>
      <c r="C13" s="15"/>
      <c r="D13" s="15" t="s">
        <v>29</v>
      </c>
      <c r="E13" s="15"/>
      <c r="F13" s="15"/>
      <c r="G13" s="15"/>
      <c r="H13" s="15"/>
      <c r="I13" s="15"/>
      <c r="J13" s="16">
        <v>2018</v>
      </c>
      <c r="K13" s="16">
        <v>1</v>
      </c>
      <c r="L13" s="16">
        <v>1</v>
      </c>
      <c r="M13" s="17"/>
      <c r="N13" s="18">
        <v>137880000</v>
      </c>
      <c r="O13" s="17"/>
      <c r="P13" s="19">
        <v>34470000</v>
      </c>
      <c r="Q13" s="20">
        <v>0.25</v>
      </c>
      <c r="R13" s="17">
        <f>O14*Q14</f>
        <v>34475312.5</v>
      </c>
      <c r="S13" s="17"/>
      <c r="T13" s="17"/>
      <c r="U13" s="15"/>
      <c r="V13" s="15"/>
      <c r="W13" s="16"/>
      <c r="X13" s="16"/>
      <c r="Y13" s="15"/>
      <c r="Z13" s="15"/>
    </row>
    <row r="14" spans="1:26">
      <c r="A14" s="15" t="s">
        <v>30</v>
      </c>
      <c r="B14" s="15" t="s">
        <v>31</v>
      </c>
      <c r="C14" s="15" t="s">
        <v>32</v>
      </c>
      <c r="D14" s="15" t="s">
        <v>29</v>
      </c>
      <c r="E14" s="21" t="s">
        <v>33</v>
      </c>
      <c r="F14" s="15" t="s">
        <v>34</v>
      </c>
      <c r="G14" s="15" t="s">
        <v>35</v>
      </c>
      <c r="H14" s="15" t="s">
        <v>36</v>
      </c>
      <c r="I14" s="15" t="s">
        <v>37</v>
      </c>
      <c r="J14" s="16">
        <v>2018</v>
      </c>
      <c r="K14" s="16">
        <v>9</v>
      </c>
      <c r="L14" s="16">
        <v>6</v>
      </c>
      <c r="M14" s="17">
        <v>21250</v>
      </c>
      <c r="N14" s="18">
        <v>137880000</v>
      </c>
      <c r="O14" s="17">
        <f t="shared" ref="O14:O18" si="8">M14+N14</f>
        <v>137901250</v>
      </c>
      <c r="P14" s="19">
        <v>34470000</v>
      </c>
      <c r="Q14" s="20">
        <f t="shared" ref="Q14:Q18" si="9">W14/100</f>
        <v>0.25</v>
      </c>
      <c r="R14" s="17">
        <f t="shared" ref="R14:R18" si="10">O14*Q14</f>
        <v>34475312.5</v>
      </c>
      <c r="S14" s="17">
        <f t="shared" ref="S14:S18" si="11">P14+R14</f>
        <v>68945312.5</v>
      </c>
      <c r="T14" s="17">
        <f t="shared" ref="T14:T18" si="12">O14-S14</f>
        <v>68955937.5</v>
      </c>
      <c r="U14" s="16">
        <v>1</v>
      </c>
      <c r="V14" s="15" t="s">
        <v>38</v>
      </c>
      <c r="W14" s="16">
        <v>25</v>
      </c>
      <c r="X14" s="16">
        <v>4</v>
      </c>
      <c r="Y14" s="15" t="s">
        <v>39</v>
      </c>
      <c r="Z14" s="15"/>
    </row>
    <row r="15" spans="1:26">
      <c r="A15" s="15" t="s">
        <v>40</v>
      </c>
      <c r="B15" s="15" t="s">
        <v>31</v>
      </c>
      <c r="C15" s="15" t="s">
        <v>32</v>
      </c>
      <c r="D15" s="15" t="s">
        <v>29</v>
      </c>
      <c r="E15" s="21" t="s">
        <v>33</v>
      </c>
      <c r="F15" s="15" t="s">
        <v>41</v>
      </c>
      <c r="G15" s="15" t="s">
        <v>42</v>
      </c>
      <c r="H15" s="15" t="s">
        <v>36</v>
      </c>
      <c r="I15" s="15" t="s">
        <v>37</v>
      </c>
      <c r="J15" s="16">
        <v>2018</v>
      </c>
      <c r="K15" s="16">
        <v>9</v>
      </c>
      <c r="L15" s="16">
        <v>6</v>
      </c>
      <c r="M15" s="17">
        <v>21250</v>
      </c>
      <c r="N15" s="17">
        <f t="shared" ref="N15:N18" si="13">O14</f>
        <v>137901250</v>
      </c>
      <c r="O15" s="17">
        <f t="shared" si="8"/>
        <v>137922500</v>
      </c>
      <c r="P15" s="19">
        <v>34470000</v>
      </c>
      <c r="Q15" s="20">
        <f t="shared" si="9"/>
        <v>0.25</v>
      </c>
      <c r="R15" s="17">
        <f t="shared" si="10"/>
        <v>34480625</v>
      </c>
      <c r="S15" s="17">
        <f>P14+R15</f>
        <v>68950625</v>
      </c>
      <c r="T15" s="17">
        <f t="shared" si="12"/>
        <v>68971875</v>
      </c>
      <c r="U15" s="16">
        <v>1</v>
      </c>
      <c r="V15" s="15" t="s">
        <v>38</v>
      </c>
      <c r="W15" s="16">
        <v>25</v>
      </c>
      <c r="X15" s="16">
        <v>4</v>
      </c>
      <c r="Y15" s="15" t="s">
        <v>39</v>
      </c>
      <c r="Z15" s="15"/>
    </row>
    <row r="16" spans="1:26">
      <c r="A16" s="15" t="s">
        <v>43</v>
      </c>
      <c r="B16" s="15" t="s">
        <v>31</v>
      </c>
      <c r="C16" s="15" t="s">
        <v>32</v>
      </c>
      <c r="D16" s="15" t="s">
        <v>29</v>
      </c>
      <c r="E16" s="21" t="s">
        <v>33</v>
      </c>
      <c r="F16" s="15" t="s">
        <v>44</v>
      </c>
      <c r="G16" s="15" t="s">
        <v>45</v>
      </c>
      <c r="H16" s="15" t="s">
        <v>36</v>
      </c>
      <c r="I16" s="15" t="s">
        <v>37</v>
      </c>
      <c r="J16" s="16">
        <v>2018</v>
      </c>
      <c r="K16" s="16">
        <v>9</v>
      </c>
      <c r="L16" s="16">
        <v>6</v>
      </c>
      <c r="M16" s="17">
        <v>21250</v>
      </c>
      <c r="N16" s="17">
        <f t="shared" si="13"/>
        <v>137922500</v>
      </c>
      <c r="O16" s="17">
        <f t="shared" si="8"/>
        <v>137943750</v>
      </c>
      <c r="P16" s="19">
        <v>34470000</v>
      </c>
      <c r="Q16" s="20">
        <f t="shared" si="9"/>
        <v>0.25</v>
      </c>
      <c r="R16" s="17">
        <f t="shared" si="10"/>
        <v>34485937.5</v>
      </c>
      <c r="S16" s="17">
        <f t="shared" si="11"/>
        <v>68955937.5</v>
      </c>
      <c r="T16" s="17">
        <f t="shared" si="12"/>
        <v>68987812.5</v>
      </c>
      <c r="U16" s="16">
        <v>1</v>
      </c>
      <c r="V16" s="15" t="s">
        <v>38</v>
      </c>
      <c r="W16" s="16">
        <v>25</v>
      </c>
      <c r="X16" s="16">
        <v>4</v>
      </c>
      <c r="Y16" s="15" t="s">
        <v>39</v>
      </c>
      <c r="Z16" s="15"/>
    </row>
    <row r="17" spans="1:26">
      <c r="A17" s="15" t="s">
        <v>46</v>
      </c>
      <c r="B17" s="15" t="s">
        <v>31</v>
      </c>
      <c r="C17" s="15" t="s">
        <v>32</v>
      </c>
      <c r="D17" s="15" t="s">
        <v>29</v>
      </c>
      <c r="E17" s="21" t="s">
        <v>33</v>
      </c>
      <c r="F17" s="15" t="s">
        <v>47</v>
      </c>
      <c r="G17" s="15" t="s">
        <v>48</v>
      </c>
      <c r="H17" s="15" t="s">
        <v>36</v>
      </c>
      <c r="I17" s="15" t="s">
        <v>37</v>
      </c>
      <c r="J17" s="16">
        <v>2018</v>
      </c>
      <c r="K17" s="16">
        <v>9</v>
      </c>
      <c r="L17" s="16">
        <v>6</v>
      </c>
      <c r="M17" s="17">
        <v>21250</v>
      </c>
      <c r="N17" s="17">
        <f t="shared" si="13"/>
        <v>137943750</v>
      </c>
      <c r="O17" s="17">
        <f t="shared" si="8"/>
        <v>137965000</v>
      </c>
      <c r="P17" s="19">
        <v>34470000</v>
      </c>
      <c r="Q17" s="20">
        <f t="shared" si="9"/>
        <v>0.25</v>
      </c>
      <c r="R17" s="17">
        <f t="shared" si="10"/>
        <v>34491250</v>
      </c>
      <c r="S17" s="17">
        <f t="shared" si="11"/>
        <v>68961250</v>
      </c>
      <c r="T17" s="17">
        <f t="shared" si="12"/>
        <v>69003750</v>
      </c>
      <c r="U17" s="16">
        <v>1</v>
      </c>
      <c r="V17" s="15" t="s">
        <v>38</v>
      </c>
      <c r="W17" s="16">
        <v>25</v>
      </c>
      <c r="X17" s="16">
        <v>4</v>
      </c>
      <c r="Y17" s="15" t="s">
        <v>39</v>
      </c>
      <c r="Z17" s="15"/>
    </row>
    <row r="18" spans="1:26">
      <c r="A18" s="15" t="s">
        <v>49</v>
      </c>
      <c r="B18" s="15" t="s">
        <v>31</v>
      </c>
      <c r="C18" s="15" t="s">
        <v>32</v>
      </c>
      <c r="D18" s="15" t="s">
        <v>29</v>
      </c>
      <c r="E18" s="21" t="s">
        <v>33</v>
      </c>
      <c r="F18" s="15" t="s">
        <v>50</v>
      </c>
      <c r="G18" s="15" t="s">
        <v>51</v>
      </c>
      <c r="H18" s="15" t="s">
        <v>36</v>
      </c>
      <c r="I18" s="15" t="s">
        <v>37</v>
      </c>
      <c r="J18" s="16">
        <v>2018</v>
      </c>
      <c r="K18" s="16">
        <v>9</v>
      </c>
      <c r="L18" s="16">
        <v>6</v>
      </c>
      <c r="M18" s="17">
        <v>21250</v>
      </c>
      <c r="N18" s="17">
        <f t="shared" si="13"/>
        <v>137965000</v>
      </c>
      <c r="O18" s="17">
        <f t="shared" si="8"/>
        <v>137986250</v>
      </c>
      <c r="P18" s="19">
        <v>34470000</v>
      </c>
      <c r="Q18" s="20">
        <f t="shared" si="9"/>
        <v>0.25</v>
      </c>
      <c r="R18" s="17">
        <f t="shared" si="10"/>
        <v>34496562.5</v>
      </c>
      <c r="S18" s="17">
        <f t="shared" si="11"/>
        <v>68966562.5</v>
      </c>
      <c r="T18" s="17">
        <f t="shared" si="12"/>
        <v>69019687.5</v>
      </c>
      <c r="U18" s="16">
        <v>1</v>
      </c>
      <c r="V18" s="15" t="s">
        <v>38</v>
      </c>
      <c r="W18" s="16">
        <v>25</v>
      </c>
      <c r="X18" s="16">
        <v>4</v>
      </c>
      <c r="Y18" s="15" t="s">
        <v>39</v>
      </c>
      <c r="Z18" s="15"/>
    </row>
  </sheetData>
  <mergeCells count="2">
    <mergeCell ref="A2:X2"/>
    <mergeCell ref="A12:X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nshuti gloriose</dc:creator>
  <cp:lastModifiedBy>nshuti gloriose</cp:lastModifiedBy>
  <dcterms:created xsi:type="dcterms:W3CDTF">2026-06-03T14:43:21Z</dcterms:created>
  <dcterms:modified xsi:type="dcterms:W3CDTF">2026-06-03T14:44:30Z</dcterms:modified>
</cp:coreProperties>
</file>